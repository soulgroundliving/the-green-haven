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" sheetId="1" r:id="rId4"/>
    <sheet state="visible" name="มค69" sheetId="2" r:id="rId5"/>
    <sheet state="visible" name="กพ69" sheetId="3" r:id="rId6"/>
    <sheet state="visible" name="มีค69" sheetId="4" r:id="rId7"/>
    <sheet state="visible" name="เมษา69" sheetId="5" r:id="rId8"/>
  </sheets>
  <definedNames/>
  <calcPr/>
  <extLst>
    <ext uri="GoogleSheetsCustomDataVersion2">
      <go:sheetsCustomData xmlns:go="http://customooxmlschemas.google.com/" r:id="rId9" roundtripDataChecksum="tNdyCG2wFR2gpdCKkuBHlJFnAvApg1069t0n9SoO/0s="/>
    </ext>
  </extLst>
</workbook>
</file>

<file path=xl/sharedStrings.xml><?xml version="1.0" encoding="utf-8"?>
<sst xmlns="http://schemas.openxmlformats.org/spreadsheetml/2006/main" count="130" uniqueCount="25">
  <si>
    <t>ห้อง</t>
  </si>
  <si>
    <t>ไฟ</t>
  </si>
  <si>
    <t>น้ำ</t>
  </si>
  <si>
    <t>ไฟล่าสุด</t>
  </si>
  <si>
    <t>ไฟเดิม</t>
  </si>
  <si>
    <t>/หน่วย</t>
  </si>
  <si>
    <t>บาท</t>
  </si>
  <si>
    <t>น้ำล่าสุด</t>
  </si>
  <si>
    <t>น้ำเดิม</t>
  </si>
  <si>
    <t>รวม</t>
  </si>
  <si>
    <t>ขยะ</t>
  </si>
  <si>
    <t>15ก</t>
  </si>
  <si>
    <t>รวมค่าห้อง</t>
  </si>
  <si>
    <t>รวมค่าไฟ</t>
  </si>
  <si>
    <t>รวมค่าน้ำ</t>
  </si>
  <si>
    <t>รวมค่่าใช้จ่าย</t>
  </si>
  <si>
    <t>ร้านใหญ่</t>
  </si>
  <si>
    <t>รวมค่าห้องทั้งหมด</t>
  </si>
  <si>
    <t>ค่าห้อง</t>
  </si>
  <si>
    <t xml:space="preserve">ห้องเช่า  </t>
  </si>
  <si>
    <t>ค่าเช่า</t>
  </si>
  <si>
    <t>฿</t>
  </si>
  <si>
    <t>เมื่อลบกันได้</t>
  </si>
  <si>
    <t>ขยะรวม</t>
  </si>
  <si>
    <t>รวมค่าใช้จ่าย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</si>
</sst>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Tahoma"/>
    </font>
    <font>
      <color theme="1"/>
      <name val="Arial"/>
    </font>
    <font>
      <b/>
      <sz val="11.0"/>
      <color theme="1"/>
      <name val="Tahoma"/>
    </font>
    <font>
      <sz val="11.0"/>
      <color theme="1"/>
      <name val="Tahoma"/>
    </font>
    <font>
      <sz val="11.0"/>
      <color rgb="FFFF0000"/>
      <name val="Tahoma"/>
    </font>
    <font/>
    <font>
      <sz val="11.0"/>
      <color rgb="FF70AD47"/>
      <name val="Tahoma"/>
    </font>
    <font>
      <b/>
      <sz val="16.0"/>
      <color theme="1"/>
      <name val="Tahoma"/>
    </font>
    <font>
      <color theme="1"/>
      <name val="Tahoma"/>
    </font>
    <font>
      <b/>
      <color theme="1"/>
      <name val="Tahoma"/>
    </font>
    <font>
      <b/>
      <sz val="11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3" fillId="2" fontId="2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3" fillId="2" fontId="4" numFmtId="3" xfId="0" applyAlignment="1" applyBorder="1" applyFont="1" applyNumberFormat="1">
      <alignment horizontal="right" vertical="bottom"/>
    </xf>
    <xf borderId="3" fillId="2" fontId="2" numFmtId="3" xfId="0" applyAlignment="1" applyBorder="1" applyFont="1" applyNumberFormat="1">
      <alignment vertical="bottom"/>
    </xf>
    <xf borderId="4" fillId="2" fontId="4" numFmtId="0" xfId="0" applyAlignment="1" applyBorder="1" applyFont="1">
      <alignment horizontal="right" vertical="bottom"/>
    </xf>
    <xf borderId="4" fillId="2" fontId="5" numFmtId="0" xfId="0" applyAlignment="1" applyBorder="1" applyFon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4" fillId="2" fontId="5" numFmtId="3" xfId="0" applyAlignment="1" applyBorder="1" applyFont="1" applyNumberFormat="1">
      <alignment horizontal="right" vertical="bottom"/>
    </xf>
    <xf borderId="1" fillId="3" fontId="2" numFmtId="0" xfId="0" applyAlignment="1" applyBorder="1" applyFill="1" applyFont="1">
      <alignment vertical="bottom"/>
    </xf>
    <xf borderId="5" fillId="3" fontId="4" numFmtId="0" xfId="0" applyAlignment="1" applyBorder="1" applyFont="1">
      <alignment horizontal="center" vertical="bottom"/>
    </xf>
    <xf borderId="6" fillId="0" fontId="6" numFmtId="0" xfId="0" applyBorder="1" applyFont="1"/>
    <xf borderId="1" fillId="3" fontId="4" numFmtId="3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vertical="bottom"/>
    </xf>
    <xf borderId="1" fillId="3" fontId="5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bottom"/>
    </xf>
    <xf borderId="3" fillId="3" fontId="2" numFmtId="3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vertical="bottom"/>
    </xf>
    <xf borderId="1" fillId="0" fontId="7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center" vertical="bottom"/>
    </xf>
    <xf borderId="7" fillId="0" fontId="6" numFmtId="0" xfId="0" applyBorder="1" applyFont="1"/>
    <xf borderId="8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14" fillId="2" fontId="8" numFmtId="0" xfId="0" applyAlignment="1" applyBorder="1" applyFont="1">
      <alignment horizontal="center" vertical="bottom"/>
    </xf>
    <xf borderId="15" fillId="0" fontId="6" numFmtId="0" xfId="0" applyBorder="1" applyFont="1"/>
    <xf borderId="16" fillId="0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7" fillId="2" fontId="2" numFmtId="0" xfId="0" applyAlignment="1" applyBorder="1" applyFont="1">
      <alignment vertical="bottom"/>
    </xf>
    <xf borderId="18" fillId="2" fontId="2" numFmtId="0" xfId="0" applyAlignment="1" applyBorder="1" applyFont="1">
      <alignment vertical="bottom"/>
    </xf>
    <xf borderId="19" fillId="2" fontId="2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9" numFmtId="0" xfId="0" applyFont="1"/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3" fillId="2" fontId="9" numFmtId="3" xfId="0" applyAlignment="1" applyBorder="1" applyFont="1" applyNumberFormat="1">
      <alignment vertical="bottom"/>
    </xf>
    <xf borderId="1" fillId="3" fontId="9" numFmtId="0" xfId="0" applyAlignment="1" applyBorder="1" applyFont="1">
      <alignment vertical="bottom"/>
    </xf>
    <xf borderId="1" fillId="3" fontId="9" numFmtId="3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3" fillId="3" fontId="9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9" numFmtId="3" xfId="0" applyAlignment="1" applyBorder="1" applyFont="1" applyNumberFormat="1">
      <alignment vertical="bottom"/>
    </xf>
    <xf borderId="1" fillId="0" fontId="9" numFmtId="3" xfId="0" applyAlignment="1" applyBorder="1" applyFont="1" applyNumberFormat="1">
      <alignment vertical="bottom"/>
    </xf>
    <xf borderId="9" fillId="2" fontId="9" numFmtId="0" xfId="0" applyAlignment="1" applyBorder="1" applyFont="1">
      <alignment vertical="bottom"/>
    </xf>
    <xf borderId="10" fillId="2" fontId="9" numFmtId="0" xfId="0" applyAlignment="1" applyBorder="1" applyFont="1">
      <alignment vertical="bottom"/>
    </xf>
    <xf borderId="11" fillId="2" fontId="9" numFmtId="0" xfId="0" applyAlignment="1" applyBorder="1" applyFont="1">
      <alignment vertical="bottom"/>
    </xf>
    <xf borderId="12" fillId="2" fontId="9" numFmtId="0" xfId="0" applyAlignment="1" applyBorder="1" applyFont="1">
      <alignment vertical="bottom"/>
    </xf>
    <xf borderId="13" fillId="2" fontId="9" numFmtId="0" xfId="0" applyAlignment="1" applyBorder="1" applyFont="1">
      <alignment vertical="bottom"/>
    </xf>
    <xf borderId="17" fillId="2" fontId="9" numFmtId="0" xfId="0" applyAlignment="1" applyBorder="1" applyFont="1">
      <alignment vertical="bottom"/>
    </xf>
    <xf borderId="18" fillId="2" fontId="9" numFmtId="0" xfId="0" applyAlignment="1" applyBorder="1" applyFont="1">
      <alignment vertical="bottom"/>
    </xf>
    <xf borderId="19" fillId="2" fontId="9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 ht="15.75" customHeight="1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 ht="15.75" customHeight="1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 ht="15.75" customHeight="1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 ht="15.75" customHeight="1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 ht="15.75" customHeight="1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 ht="15.75" customHeight="1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 ht="15.75" customHeight="1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 ht="15.75" customHeight="1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 ht="15.75" customHeight="1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 ht="15.75" customHeight="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 ht="15.75" customHeight="1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 ht="15.75" customHeight="1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 ht="15.75" customHeight="1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 ht="15.75" customHeight="1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 ht="15.75" customHeight="1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 ht="15.75" customHeight="1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 ht="15.75" customHeight="1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 ht="15.75" customHeight="1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 ht="15.75" customHeight="1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 ht="15.75" customHeight="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 ht="15.75" customHeight="1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 ht="15.75" customHeight="1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 ht="15.75" customHeight="1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 ht="15.75" customHeight="1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ht="15.75" customHeight="1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">
        <v>8.0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55"/>
      <c r="E1" s="55"/>
      <c r="F1" s="4" t="s">
        <v>3</v>
      </c>
      <c r="G1" s="4" t="s">
        <v>4</v>
      </c>
      <c r="H1" s="56" t="s">
        <v>22</v>
      </c>
      <c r="I1" s="4" t="s">
        <v>5</v>
      </c>
      <c r="J1" s="4" t="s">
        <v>6</v>
      </c>
      <c r="K1" s="55"/>
      <c r="L1" s="4" t="s">
        <v>7</v>
      </c>
      <c r="M1" s="4" t="s">
        <v>8</v>
      </c>
      <c r="N1" s="57"/>
      <c r="O1" s="4" t="s">
        <v>5</v>
      </c>
      <c r="P1" s="4" t="s">
        <v>6</v>
      </c>
      <c r="Q1" s="55"/>
      <c r="R1" s="4" t="s">
        <v>9</v>
      </c>
      <c r="S1" s="4" t="s">
        <v>10</v>
      </c>
      <c r="T1" s="4" t="s">
        <v>6</v>
      </c>
      <c r="U1" s="58"/>
    </row>
    <row r="2" ht="15.75" customHeight="1">
      <c r="A2" s="6" t="s">
        <v>11</v>
      </c>
      <c r="B2" s="59">
        <v>5366.0</v>
      </c>
      <c r="C2" s="59">
        <v>1491.0</v>
      </c>
      <c r="D2" s="7">
        <v>1500.0</v>
      </c>
      <c r="E2" s="55"/>
      <c r="F2" s="59">
        <f t="shared" ref="F2:F23" si="1">B2</f>
        <v>5366</v>
      </c>
      <c r="G2" s="8">
        <v>5119.0</v>
      </c>
      <c r="H2" s="8">
        <f t="shared" ref="H2:H23" si="2">F2-G2</f>
        <v>247</v>
      </c>
      <c r="I2" s="8">
        <v>8.0</v>
      </c>
      <c r="J2" s="9">
        <f t="shared" ref="J2:J23" si="3">H2*I2</f>
        <v>1976</v>
      </c>
      <c r="K2" s="55"/>
      <c r="L2" s="59">
        <f t="shared" ref="L2:L23" si="4">C2</f>
        <v>1491</v>
      </c>
      <c r="M2" s="8">
        <v>1477.0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55"/>
      <c r="R2" s="8">
        <f t="shared" ref="R2:R23" si="7">J2+P2+D2</f>
        <v>3756</v>
      </c>
      <c r="S2" s="8">
        <v>20.0</v>
      </c>
      <c r="T2" s="9">
        <f t="shared" ref="T2:T23" si="8">R2+S2</f>
        <v>3776</v>
      </c>
      <c r="U2" s="58"/>
    </row>
    <row r="3" ht="15.75" customHeight="1">
      <c r="A3" s="10">
        <v>13.0</v>
      </c>
      <c r="B3" s="60">
        <v>3291.0</v>
      </c>
      <c r="C3" s="60">
        <v>1710.0</v>
      </c>
      <c r="D3" s="12">
        <v>1500.0</v>
      </c>
      <c r="E3" s="61"/>
      <c r="F3" s="60">
        <f t="shared" si="1"/>
        <v>3291</v>
      </c>
      <c r="G3" s="14">
        <v>3267.0</v>
      </c>
      <c r="H3" s="14">
        <f t="shared" si="2"/>
        <v>24</v>
      </c>
      <c r="I3" s="14">
        <v>8.0</v>
      </c>
      <c r="J3" s="15">
        <f t="shared" si="3"/>
        <v>192</v>
      </c>
      <c r="K3" s="61"/>
      <c r="L3" s="60">
        <f t="shared" si="4"/>
        <v>1710</v>
      </c>
      <c r="M3" s="14">
        <v>1707.0</v>
      </c>
      <c r="N3" s="14">
        <f t="shared" si="5"/>
        <v>3</v>
      </c>
      <c r="O3" s="14">
        <v>20.0</v>
      </c>
      <c r="P3" s="15">
        <f t="shared" si="6"/>
        <v>60</v>
      </c>
      <c r="Q3" s="61"/>
      <c r="R3" s="14">
        <f t="shared" si="7"/>
        <v>1752</v>
      </c>
      <c r="S3" s="14">
        <v>20.0</v>
      </c>
      <c r="T3" s="15">
        <f t="shared" si="8"/>
        <v>1772</v>
      </c>
      <c r="U3" s="58"/>
    </row>
    <row r="4" ht="15.75" customHeight="1">
      <c r="A4" s="6">
        <v>14.0</v>
      </c>
      <c r="B4" s="59">
        <v>9927.0</v>
      </c>
      <c r="C4" s="59">
        <v>3313.0</v>
      </c>
      <c r="D4" s="7">
        <v>1200.0</v>
      </c>
      <c r="E4" s="55"/>
      <c r="F4" s="59">
        <f t="shared" si="1"/>
        <v>9927</v>
      </c>
      <c r="G4" s="8">
        <v>9840.0</v>
      </c>
      <c r="H4" s="8">
        <f t="shared" si="2"/>
        <v>87</v>
      </c>
      <c r="I4" s="8">
        <v>8.0</v>
      </c>
      <c r="J4" s="9">
        <f t="shared" si="3"/>
        <v>696</v>
      </c>
      <c r="K4" s="55"/>
      <c r="L4" s="59">
        <f t="shared" si="4"/>
        <v>3313</v>
      </c>
      <c r="M4" s="8">
        <v>3299.0</v>
      </c>
      <c r="N4" s="8">
        <f t="shared" si="5"/>
        <v>14</v>
      </c>
      <c r="O4" s="8">
        <v>20.0</v>
      </c>
      <c r="P4" s="9">
        <f t="shared" si="6"/>
        <v>280</v>
      </c>
      <c r="Q4" s="55"/>
      <c r="R4" s="8">
        <f t="shared" si="7"/>
        <v>2176</v>
      </c>
      <c r="S4" s="8">
        <v>20.0</v>
      </c>
      <c r="T4" s="9">
        <f t="shared" si="8"/>
        <v>2196</v>
      </c>
      <c r="U4" s="58"/>
    </row>
    <row r="5" ht="15.75" customHeight="1">
      <c r="A5" s="10">
        <v>15.0</v>
      </c>
      <c r="B5" s="60">
        <v>9876.0</v>
      </c>
      <c r="C5" s="60">
        <v>1639.0</v>
      </c>
      <c r="D5" s="12">
        <v>1200.0</v>
      </c>
      <c r="E5" s="61"/>
      <c r="F5" s="60">
        <f t="shared" si="1"/>
        <v>9876</v>
      </c>
      <c r="G5" s="14">
        <v>9753.0</v>
      </c>
      <c r="H5" s="14">
        <f t="shared" si="2"/>
        <v>123</v>
      </c>
      <c r="I5" s="14">
        <v>8.0</v>
      </c>
      <c r="J5" s="15">
        <f t="shared" si="3"/>
        <v>984</v>
      </c>
      <c r="K5" s="61"/>
      <c r="L5" s="60">
        <f t="shared" si="4"/>
        <v>1639</v>
      </c>
      <c r="M5" s="14">
        <v>1635.0</v>
      </c>
      <c r="N5" s="14">
        <f t="shared" si="5"/>
        <v>4</v>
      </c>
      <c r="O5" s="14">
        <v>20.0</v>
      </c>
      <c r="P5" s="15">
        <f t="shared" si="6"/>
        <v>80</v>
      </c>
      <c r="Q5" s="61"/>
      <c r="R5" s="14">
        <f t="shared" si="7"/>
        <v>2264</v>
      </c>
      <c r="S5" s="14">
        <v>20.0</v>
      </c>
      <c r="T5" s="15">
        <f t="shared" si="8"/>
        <v>2284</v>
      </c>
      <c r="U5" s="58"/>
    </row>
    <row r="6" ht="15.75" customHeight="1">
      <c r="A6" s="6">
        <v>16.0</v>
      </c>
      <c r="B6" s="59">
        <v>8571.0</v>
      </c>
      <c r="C6" s="59">
        <v>310.0</v>
      </c>
      <c r="D6" s="7">
        <v>2000.0</v>
      </c>
      <c r="E6" s="55"/>
      <c r="F6" s="59">
        <f t="shared" si="1"/>
        <v>8571</v>
      </c>
      <c r="G6" s="8">
        <v>8438.0</v>
      </c>
      <c r="H6" s="8">
        <f t="shared" si="2"/>
        <v>133</v>
      </c>
      <c r="I6" s="8">
        <v>8.0</v>
      </c>
      <c r="J6" s="9">
        <f t="shared" si="3"/>
        <v>1064</v>
      </c>
      <c r="K6" s="55"/>
      <c r="L6" s="59">
        <f t="shared" si="4"/>
        <v>310</v>
      </c>
      <c r="M6" s="8">
        <v>301.0</v>
      </c>
      <c r="N6" s="8">
        <f t="shared" si="5"/>
        <v>9</v>
      </c>
      <c r="O6" s="8">
        <v>20.0</v>
      </c>
      <c r="P6" s="9">
        <f t="shared" si="6"/>
        <v>180</v>
      </c>
      <c r="Q6" s="55"/>
      <c r="R6" s="8">
        <f t="shared" si="7"/>
        <v>3244</v>
      </c>
      <c r="S6" s="8">
        <v>20.0</v>
      </c>
      <c r="T6" s="9">
        <f t="shared" si="8"/>
        <v>3264</v>
      </c>
      <c r="U6" s="58"/>
    </row>
    <row r="7" ht="15.75" customHeight="1">
      <c r="A7" s="10">
        <v>17.0</v>
      </c>
      <c r="B7" s="60">
        <v>1829.0</v>
      </c>
      <c r="C7" s="60">
        <v>3023.0</v>
      </c>
      <c r="D7" s="12">
        <v>1500.0</v>
      </c>
      <c r="E7" s="61"/>
      <c r="F7" s="60">
        <f t="shared" si="1"/>
        <v>1829</v>
      </c>
      <c r="G7" s="14">
        <v>1807.0</v>
      </c>
      <c r="H7" s="14">
        <f t="shared" si="2"/>
        <v>22</v>
      </c>
      <c r="I7" s="14">
        <v>8.0</v>
      </c>
      <c r="J7" s="15">
        <f t="shared" si="3"/>
        <v>176</v>
      </c>
      <c r="K7" s="61"/>
      <c r="L7" s="60">
        <f t="shared" si="4"/>
        <v>3023</v>
      </c>
      <c r="M7" s="14">
        <v>3022.0</v>
      </c>
      <c r="N7" s="14">
        <f t="shared" si="5"/>
        <v>1</v>
      </c>
      <c r="O7" s="14">
        <v>20.0</v>
      </c>
      <c r="P7" s="15">
        <f t="shared" si="6"/>
        <v>20</v>
      </c>
      <c r="Q7" s="61"/>
      <c r="R7" s="14">
        <f t="shared" si="7"/>
        <v>1696</v>
      </c>
      <c r="S7" s="14">
        <v>20.0</v>
      </c>
      <c r="T7" s="15">
        <f t="shared" si="8"/>
        <v>1716</v>
      </c>
      <c r="U7" s="58"/>
    </row>
    <row r="8" ht="15.75" customHeight="1">
      <c r="A8" s="6">
        <v>18.0</v>
      </c>
      <c r="B8" s="59">
        <v>9809.0</v>
      </c>
      <c r="C8" s="59">
        <v>1395.0</v>
      </c>
      <c r="D8" s="7">
        <v>1500.0</v>
      </c>
      <c r="E8" s="55"/>
      <c r="F8" s="59">
        <f t="shared" si="1"/>
        <v>9809</v>
      </c>
      <c r="G8" s="8">
        <v>9773.0</v>
      </c>
      <c r="H8" s="8">
        <f t="shared" si="2"/>
        <v>36</v>
      </c>
      <c r="I8" s="8">
        <v>8.0</v>
      </c>
      <c r="J8" s="9">
        <f t="shared" si="3"/>
        <v>288</v>
      </c>
      <c r="K8" s="55"/>
      <c r="L8" s="59">
        <f t="shared" si="4"/>
        <v>1395</v>
      </c>
      <c r="M8" s="8">
        <v>1385.0</v>
      </c>
      <c r="N8" s="8">
        <f t="shared" si="5"/>
        <v>10</v>
      </c>
      <c r="O8" s="8">
        <v>20.0</v>
      </c>
      <c r="P8" s="9">
        <f t="shared" si="6"/>
        <v>200</v>
      </c>
      <c r="Q8" s="55"/>
      <c r="R8" s="8">
        <f t="shared" si="7"/>
        <v>1988</v>
      </c>
      <c r="S8" s="8">
        <v>20.0</v>
      </c>
      <c r="T8" s="9">
        <f t="shared" si="8"/>
        <v>2008</v>
      </c>
      <c r="U8" s="58"/>
    </row>
    <row r="9" ht="15.75" customHeight="1">
      <c r="A9" s="10">
        <v>19.0</v>
      </c>
      <c r="B9" s="60">
        <v>10026.0</v>
      </c>
      <c r="C9" s="60">
        <v>1569.0</v>
      </c>
      <c r="D9" s="12">
        <v>1500.0</v>
      </c>
      <c r="E9" s="61"/>
      <c r="F9" s="60">
        <f t="shared" si="1"/>
        <v>10026</v>
      </c>
      <c r="G9" s="14">
        <v>9985.0</v>
      </c>
      <c r="H9" s="14">
        <f t="shared" si="2"/>
        <v>41</v>
      </c>
      <c r="I9" s="14">
        <v>8.0</v>
      </c>
      <c r="J9" s="15">
        <f t="shared" si="3"/>
        <v>328</v>
      </c>
      <c r="K9" s="61"/>
      <c r="L9" s="60">
        <f t="shared" si="4"/>
        <v>1569</v>
      </c>
      <c r="M9" s="14">
        <v>1560.0</v>
      </c>
      <c r="N9" s="14">
        <f t="shared" si="5"/>
        <v>9</v>
      </c>
      <c r="O9" s="14">
        <v>20.0</v>
      </c>
      <c r="P9" s="15">
        <f t="shared" si="6"/>
        <v>180</v>
      </c>
      <c r="Q9" s="61"/>
      <c r="R9" s="14">
        <f t="shared" si="7"/>
        <v>2008</v>
      </c>
      <c r="S9" s="14">
        <v>20.0</v>
      </c>
      <c r="T9" s="15">
        <f t="shared" si="8"/>
        <v>2028</v>
      </c>
      <c r="U9" s="58"/>
    </row>
    <row r="10" ht="15.75" customHeight="1">
      <c r="A10" s="6">
        <v>20.0</v>
      </c>
      <c r="B10" s="59">
        <v>6132.0</v>
      </c>
      <c r="C10" s="59">
        <v>1954.0</v>
      </c>
      <c r="D10" s="7">
        <v>1500.0</v>
      </c>
      <c r="E10" s="55"/>
      <c r="F10" s="59">
        <f t="shared" si="1"/>
        <v>6132</v>
      </c>
      <c r="G10" s="8">
        <v>6000.0</v>
      </c>
      <c r="H10" s="8">
        <f t="shared" si="2"/>
        <v>132</v>
      </c>
      <c r="I10" s="8">
        <v>8.0</v>
      </c>
      <c r="J10" s="9">
        <f t="shared" si="3"/>
        <v>1056</v>
      </c>
      <c r="K10" s="55"/>
      <c r="L10" s="59">
        <f t="shared" si="4"/>
        <v>1954</v>
      </c>
      <c r="M10" s="8">
        <v>1940.0</v>
      </c>
      <c r="N10" s="8">
        <f t="shared" si="5"/>
        <v>14</v>
      </c>
      <c r="O10" s="8">
        <v>20.0</v>
      </c>
      <c r="P10" s="9">
        <f t="shared" si="6"/>
        <v>280</v>
      </c>
      <c r="Q10" s="55"/>
      <c r="R10" s="8">
        <f t="shared" si="7"/>
        <v>2836</v>
      </c>
      <c r="S10" s="8">
        <v>20.0</v>
      </c>
      <c r="T10" s="9">
        <f t="shared" si="8"/>
        <v>2856</v>
      </c>
      <c r="U10" s="58"/>
    </row>
    <row r="11" ht="15.75" customHeight="1">
      <c r="A11" s="10">
        <v>21.0</v>
      </c>
      <c r="B11" s="60">
        <v>926.0</v>
      </c>
      <c r="C11" s="60">
        <v>89.0</v>
      </c>
      <c r="D11" s="12">
        <v>1500.0</v>
      </c>
      <c r="E11" s="61"/>
      <c r="F11" s="60">
        <f t="shared" si="1"/>
        <v>926</v>
      </c>
      <c r="G11" s="14">
        <v>917.0</v>
      </c>
      <c r="H11" s="14">
        <f t="shared" si="2"/>
        <v>9</v>
      </c>
      <c r="I11" s="14">
        <v>8.0</v>
      </c>
      <c r="J11" s="15">
        <f t="shared" si="3"/>
        <v>72</v>
      </c>
      <c r="K11" s="61"/>
      <c r="L11" s="60">
        <f t="shared" si="4"/>
        <v>89</v>
      </c>
      <c r="M11" s="14">
        <v>88.0</v>
      </c>
      <c r="N11" s="14">
        <f t="shared" si="5"/>
        <v>1</v>
      </c>
      <c r="O11" s="14">
        <v>20.0</v>
      </c>
      <c r="P11" s="15">
        <f t="shared" si="6"/>
        <v>20</v>
      </c>
      <c r="Q11" s="61"/>
      <c r="R11" s="14">
        <f t="shared" si="7"/>
        <v>1592</v>
      </c>
      <c r="S11" s="14">
        <v>20.0</v>
      </c>
      <c r="T11" s="15">
        <f t="shared" si="8"/>
        <v>1612</v>
      </c>
      <c r="U11" s="58"/>
    </row>
    <row r="12" ht="15.75" customHeight="1">
      <c r="A12" s="6">
        <v>22.0</v>
      </c>
      <c r="B12" s="59">
        <v>3402.0</v>
      </c>
      <c r="C12" s="59">
        <v>1446.0</v>
      </c>
      <c r="D12" s="7">
        <v>1500.0</v>
      </c>
      <c r="E12" s="55"/>
      <c r="F12" s="59">
        <f t="shared" si="1"/>
        <v>3402</v>
      </c>
      <c r="G12" s="8">
        <v>3400.0</v>
      </c>
      <c r="H12" s="8">
        <f t="shared" si="2"/>
        <v>2</v>
      </c>
      <c r="I12" s="8">
        <v>8.0</v>
      </c>
      <c r="J12" s="9">
        <f t="shared" si="3"/>
        <v>16</v>
      </c>
      <c r="K12" s="55"/>
      <c r="L12" s="59">
        <f t="shared" si="4"/>
        <v>1446</v>
      </c>
      <c r="M12" s="8">
        <v>1443.0</v>
      </c>
      <c r="N12" s="8">
        <f t="shared" si="5"/>
        <v>3</v>
      </c>
      <c r="O12" s="8">
        <v>20.0</v>
      </c>
      <c r="P12" s="9">
        <f t="shared" si="6"/>
        <v>60</v>
      </c>
      <c r="Q12" s="55"/>
      <c r="R12" s="8">
        <f t="shared" si="7"/>
        <v>1576</v>
      </c>
      <c r="S12" s="8">
        <v>20.0</v>
      </c>
      <c r="T12" s="9">
        <f t="shared" si="8"/>
        <v>1596</v>
      </c>
      <c r="U12" s="58"/>
    </row>
    <row r="13" ht="15.75" customHeight="1">
      <c r="A13" s="10">
        <v>23.0</v>
      </c>
      <c r="B13" s="60">
        <v>1952.0</v>
      </c>
      <c r="C13" s="60">
        <v>1144.0</v>
      </c>
      <c r="D13" s="12">
        <v>1500.0</v>
      </c>
      <c r="E13" s="61"/>
      <c r="F13" s="60">
        <f t="shared" si="1"/>
        <v>1952</v>
      </c>
      <c r="G13" s="14">
        <v>1901.0</v>
      </c>
      <c r="H13" s="14">
        <f t="shared" si="2"/>
        <v>51</v>
      </c>
      <c r="I13" s="14">
        <v>8.0</v>
      </c>
      <c r="J13" s="15">
        <f t="shared" si="3"/>
        <v>408</v>
      </c>
      <c r="K13" s="61"/>
      <c r="L13" s="60">
        <f t="shared" si="4"/>
        <v>1144</v>
      </c>
      <c r="M13" s="14">
        <v>1139.0</v>
      </c>
      <c r="N13" s="14">
        <f t="shared" si="5"/>
        <v>5</v>
      </c>
      <c r="O13" s="14">
        <v>20.0</v>
      </c>
      <c r="P13" s="15">
        <f t="shared" si="6"/>
        <v>100</v>
      </c>
      <c r="Q13" s="61"/>
      <c r="R13" s="14">
        <f t="shared" si="7"/>
        <v>2008</v>
      </c>
      <c r="S13" s="14">
        <v>20.0</v>
      </c>
      <c r="T13" s="15">
        <f t="shared" si="8"/>
        <v>2028</v>
      </c>
      <c r="U13" s="58"/>
    </row>
    <row r="14" ht="15.75" customHeight="1">
      <c r="A14" s="6">
        <v>24.0</v>
      </c>
      <c r="B14" s="59">
        <v>3941.0</v>
      </c>
      <c r="C14" s="59">
        <v>1077.0</v>
      </c>
      <c r="D14" s="7">
        <v>2000.0</v>
      </c>
      <c r="E14" s="55"/>
      <c r="F14" s="59">
        <f t="shared" si="1"/>
        <v>3941</v>
      </c>
      <c r="G14" s="8">
        <v>3835.0</v>
      </c>
      <c r="H14" s="8">
        <f t="shared" si="2"/>
        <v>106</v>
      </c>
      <c r="I14" s="8">
        <v>8.0</v>
      </c>
      <c r="J14" s="9">
        <f t="shared" si="3"/>
        <v>848</v>
      </c>
      <c r="K14" s="55"/>
      <c r="L14" s="59">
        <f t="shared" si="4"/>
        <v>1077</v>
      </c>
      <c r="M14" s="8">
        <v>1050.0</v>
      </c>
      <c r="N14" s="8">
        <f t="shared" si="5"/>
        <v>27</v>
      </c>
      <c r="O14" s="8">
        <v>20.0</v>
      </c>
      <c r="P14" s="9">
        <f t="shared" si="6"/>
        <v>540</v>
      </c>
      <c r="Q14" s="55"/>
      <c r="R14" s="8">
        <f t="shared" si="7"/>
        <v>3388</v>
      </c>
      <c r="S14" s="8">
        <v>20.0</v>
      </c>
      <c r="T14" s="9">
        <f t="shared" si="8"/>
        <v>3408</v>
      </c>
      <c r="U14" s="58"/>
    </row>
    <row r="15" ht="15.75" customHeight="1">
      <c r="A15" s="10">
        <v>25.0</v>
      </c>
      <c r="B15" s="60">
        <v>4078.0</v>
      </c>
      <c r="C15" s="60">
        <v>1979.0</v>
      </c>
      <c r="D15" s="12">
        <v>1500.0</v>
      </c>
      <c r="E15" s="61"/>
      <c r="F15" s="60">
        <f t="shared" si="1"/>
        <v>4078</v>
      </c>
      <c r="G15" s="14">
        <v>4063.0</v>
      </c>
      <c r="H15" s="14">
        <f t="shared" si="2"/>
        <v>15</v>
      </c>
      <c r="I15" s="14">
        <v>8.0</v>
      </c>
      <c r="J15" s="15">
        <f t="shared" si="3"/>
        <v>120</v>
      </c>
      <c r="K15" s="61"/>
      <c r="L15" s="60">
        <f t="shared" si="4"/>
        <v>1979</v>
      </c>
      <c r="M15" s="14">
        <v>1970.0</v>
      </c>
      <c r="N15" s="14">
        <f t="shared" si="5"/>
        <v>9</v>
      </c>
      <c r="O15" s="14">
        <v>20.0</v>
      </c>
      <c r="P15" s="15">
        <f t="shared" si="6"/>
        <v>180</v>
      </c>
      <c r="Q15" s="61"/>
      <c r="R15" s="14">
        <f t="shared" si="7"/>
        <v>1800</v>
      </c>
      <c r="S15" s="14">
        <v>20.0</v>
      </c>
      <c r="T15" s="15">
        <f t="shared" si="8"/>
        <v>1820</v>
      </c>
      <c r="U15" s="58"/>
    </row>
    <row r="16" ht="15.75" customHeight="1">
      <c r="A16" s="6">
        <v>26.0</v>
      </c>
      <c r="B16" s="59">
        <v>1870.0</v>
      </c>
      <c r="C16" s="59">
        <v>1575.0</v>
      </c>
      <c r="D16" s="7">
        <v>2000.0</v>
      </c>
      <c r="E16" s="55"/>
      <c r="F16" s="59">
        <f t="shared" si="1"/>
        <v>1870</v>
      </c>
      <c r="G16" s="8">
        <v>1797.0</v>
      </c>
      <c r="H16" s="8">
        <f t="shared" si="2"/>
        <v>73</v>
      </c>
      <c r="I16" s="8">
        <v>8.0</v>
      </c>
      <c r="J16" s="9">
        <f t="shared" si="3"/>
        <v>584</v>
      </c>
      <c r="K16" s="55"/>
      <c r="L16" s="59">
        <f t="shared" si="4"/>
        <v>1575</v>
      </c>
      <c r="M16" s="8">
        <v>1568.0</v>
      </c>
      <c r="N16" s="8">
        <f t="shared" si="5"/>
        <v>7</v>
      </c>
      <c r="O16" s="8">
        <v>20.0</v>
      </c>
      <c r="P16" s="9">
        <f t="shared" si="6"/>
        <v>140</v>
      </c>
      <c r="Q16" s="55"/>
      <c r="R16" s="8">
        <f t="shared" si="7"/>
        <v>2724</v>
      </c>
      <c r="S16" s="8">
        <v>20.0</v>
      </c>
      <c r="T16" s="9">
        <f t="shared" si="8"/>
        <v>2744</v>
      </c>
      <c r="U16" s="58"/>
    </row>
    <row r="17" ht="15.75" customHeight="1">
      <c r="A17" s="10">
        <v>27.0</v>
      </c>
      <c r="B17" s="60">
        <v>4666.0</v>
      </c>
      <c r="C17" s="60">
        <v>1719.0</v>
      </c>
      <c r="D17" s="12">
        <v>1500.0</v>
      </c>
      <c r="E17" s="61"/>
      <c r="F17" s="60">
        <f t="shared" si="1"/>
        <v>4666</v>
      </c>
      <c r="G17" s="14">
        <v>4505.0</v>
      </c>
      <c r="H17" s="14">
        <f t="shared" si="2"/>
        <v>161</v>
      </c>
      <c r="I17" s="14">
        <v>8.0</v>
      </c>
      <c r="J17" s="15">
        <f t="shared" si="3"/>
        <v>1288</v>
      </c>
      <c r="K17" s="61"/>
      <c r="L17" s="60">
        <f t="shared" si="4"/>
        <v>1719</v>
      </c>
      <c r="M17" s="14">
        <v>1703.0</v>
      </c>
      <c r="N17" s="14">
        <f t="shared" si="5"/>
        <v>16</v>
      </c>
      <c r="O17" s="14">
        <v>20.0</v>
      </c>
      <c r="P17" s="15">
        <f t="shared" si="6"/>
        <v>320</v>
      </c>
      <c r="Q17" s="61"/>
      <c r="R17" s="14">
        <f t="shared" si="7"/>
        <v>3108</v>
      </c>
      <c r="S17" s="14">
        <v>20.0</v>
      </c>
      <c r="T17" s="15">
        <f t="shared" si="8"/>
        <v>3128</v>
      </c>
      <c r="U17" s="58"/>
    </row>
    <row r="18" ht="15.75" customHeight="1">
      <c r="A18" s="6">
        <v>28.0</v>
      </c>
      <c r="B18" s="59">
        <v>763.0</v>
      </c>
      <c r="C18" s="59">
        <v>558.0</v>
      </c>
      <c r="D18" s="7">
        <v>1500.0</v>
      </c>
      <c r="E18" s="55"/>
      <c r="F18" s="59">
        <f t="shared" si="1"/>
        <v>763</v>
      </c>
      <c r="G18" s="8">
        <v>748.0</v>
      </c>
      <c r="H18" s="8">
        <f t="shared" si="2"/>
        <v>15</v>
      </c>
      <c r="I18" s="8">
        <v>8.0</v>
      </c>
      <c r="J18" s="9">
        <f t="shared" si="3"/>
        <v>120</v>
      </c>
      <c r="K18" s="55"/>
      <c r="L18" s="59">
        <f t="shared" si="4"/>
        <v>558</v>
      </c>
      <c r="M18" s="8">
        <v>556.0</v>
      </c>
      <c r="N18" s="8">
        <f t="shared" si="5"/>
        <v>2</v>
      </c>
      <c r="O18" s="8">
        <v>20.0</v>
      </c>
      <c r="P18" s="9">
        <f t="shared" si="6"/>
        <v>40</v>
      </c>
      <c r="Q18" s="55"/>
      <c r="R18" s="8">
        <f t="shared" si="7"/>
        <v>1660</v>
      </c>
      <c r="S18" s="8">
        <v>20.0</v>
      </c>
      <c r="T18" s="9">
        <f t="shared" si="8"/>
        <v>1680</v>
      </c>
      <c r="U18" s="58"/>
    </row>
    <row r="19" ht="15.75" customHeight="1">
      <c r="A19" s="10">
        <v>29.0</v>
      </c>
      <c r="B19" s="60">
        <v>1692.0</v>
      </c>
      <c r="C19" s="60">
        <v>1199.0</v>
      </c>
      <c r="D19" s="12">
        <v>1500.0</v>
      </c>
      <c r="E19" s="61"/>
      <c r="F19" s="60">
        <f t="shared" si="1"/>
        <v>1692</v>
      </c>
      <c r="G19" s="14">
        <v>1679.0</v>
      </c>
      <c r="H19" s="14">
        <f t="shared" si="2"/>
        <v>13</v>
      </c>
      <c r="I19" s="14">
        <v>8.0</v>
      </c>
      <c r="J19" s="15">
        <f t="shared" si="3"/>
        <v>104</v>
      </c>
      <c r="K19" s="61"/>
      <c r="L19" s="60">
        <f t="shared" si="4"/>
        <v>1199</v>
      </c>
      <c r="M19" s="14">
        <v>1197.0</v>
      </c>
      <c r="N19" s="14">
        <f t="shared" si="5"/>
        <v>2</v>
      </c>
      <c r="O19" s="14">
        <v>20.0</v>
      </c>
      <c r="P19" s="15">
        <f t="shared" si="6"/>
        <v>40</v>
      </c>
      <c r="Q19" s="61"/>
      <c r="R19" s="14">
        <f t="shared" si="7"/>
        <v>1644</v>
      </c>
      <c r="S19" s="14">
        <v>20.0</v>
      </c>
      <c r="T19" s="15">
        <f t="shared" si="8"/>
        <v>1664</v>
      </c>
      <c r="U19" s="58"/>
    </row>
    <row r="20" ht="15.75" customHeight="1">
      <c r="A20" s="6">
        <v>30.0</v>
      </c>
      <c r="B20" s="59">
        <v>109.0</v>
      </c>
      <c r="C20" s="59">
        <v>1381.0</v>
      </c>
      <c r="D20" s="7">
        <v>1500.0</v>
      </c>
      <c r="E20" s="55"/>
      <c r="F20" s="59">
        <f t="shared" si="1"/>
        <v>109</v>
      </c>
      <c r="G20" s="8">
        <v>42.0</v>
      </c>
      <c r="H20" s="8">
        <f t="shared" si="2"/>
        <v>67</v>
      </c>
      <c r="I20" s="8">
        <v>8.0</v>
      </c>
      <c r="J20" s="9">
        <f t="shared" si="3"/>
        <v>536</v>
      </c>
      <c r="K20" s="55"/>
      <c r="L20" s="59">
        <f t="shared" si="4"/>
        <v>1381</v>
      </c>
      <c r="M20" s="8">
        <v>1374.0</v>
      </c>
      <c r="N20" s="8">
        <f t="shared" si="5"/>
        <v>7</v>
      </c>
      <c r="O20" s="8">
        <v>20.0</v>
      </c>
      <c r="P20" s="9">
        <f t="shared" si="6"/>
        <v>140</v>
      </c>
      <c r="Q20" s="55"/>
      <c r="R20" s="8">
        <f t="shared" si="7"/>
        <v>2176</v>
      </c>
      <c r="S20" s="8">
        <v>20.0</v>
      </c>
      <c r="T20" s="9">
        <f t="shared" si="8"/>
        <v>2196</v>
      </c>
      <c r="U20" s="58"/>
    </row>
    <row r="21" ht="15.75" customHeight="1">
      <c r="A21" s="10">
        <v>31.0</v>
      </c>
      <c r="B21" s="60">
        <v>518.0</v>
      </c>
      <c r="C21" s="60">
        <v>1672.0</v>
      </c>
      <c r="D21" s="12">
        <v>1500.0</v>
      </c>
      <c r="E21" s="61"/>
      <c r="F21" s="60">
        <f t="shared" si="1"/>
        <v>518</v>
      </c>
      <c r="G21" s="14">
        <v>448.0</v>
      </c>
      <c r="H21" s="14">
        <f t="shared" si="2"/>
        <v>70</v>
      </c>
      <c r="I21" s="14">
        <v>8.0</v>
      </c>
      <c r="J21" s="15">
        <f t="shared" si="3"/>
        <v>560</v>
      </c>
      <c r="K21" s="61"/>
      <c r="L21" s="60">
        <f t="shared" si="4"/>
        <v>1672</v>
      </c>
      <c r="M21" s="14">
        <v>1665.0</v>
      </c>
      <c r="N21" s="14">
        <f t="shared" si="5"/>
        <v>7</v>
      </c>
      <c r="O21" s="14">
        <v>20.0</v>
      </c>
      <c r="P21" s="15">
        <f t="shared" si="6"/>
        <v>140</v>
      </c>
      <c r="Q21" s="61"/>
      <c r="R21" s="14">
        <f t="shared" si="7"/>
        <v>2200</v>
      </c>
      <c r="S21" s="14">
        <v>20.0</v>
      </c>
      <c r="T21" s="15">
        <f t="shared" si="8"/>
        <v>2220</v>
      </c>
      <c r="U21" s="58"/>
    </row>
    <row r="22" ht="15.75" customHeight="1">
      <c r="A22" s="6">
        <v>32.0</v>
      </c>
      <c r="B22" s="59">
        <v>997.0</v>
      </c>
      <c r="C22" s="59">
        <v>1299.0</v>
      </c>
      <c r="D22" s="7">
        <v>1500.0</v>
      </c>
      <c r="E22" s="55"/>
      <c r="F22" s="59">
        <f t="shared" si="1"/>
        <v>997</v>
      </c>
      <c r="G22" s="8">
        <v>996.0</v>
      </c>
      <c r="H22" s="8">
        <f t="shared" si="2"/>
        <v>1</v>
      </c>
      <c r="I22" s="8">
        <v>8.0</v>
      </c>
      <c r="J22" s="9">
        <f t="shared" si="3"/>
        <v>8</v>
      </c>
      <c r="K22" s="55"/>
      <c r="L22" s="59">
        <f t="shared" si="4"/>
        <v>1299</v>
      </c>
      <c r="M22" s="8">
        <v>1299.0</v>
      </c>
      <c r="N22" s="8">
        <f t="shared" si="5"/>
        <v>0</v>
      </c>
      <c r="O22" s="8">
        <v>20.0</v>
      </c>
      <c r="P22" s="9">
        <f t="shared" si="6"/>
        <v>0</v>
      </c>
      <c r="Q22" s="55"/>
      <c r="R22" s="8">
        <f t="shared" si="7"/>
        <v>1508</v>
      </c>
      <c r="S22" s="8">
        <v>20.0</v>
      </c>
      <c r="T22" s="9">
        <f t="shared" si="8"/>
        <v>1528</v>
      </c>
      <c r="U22" s="58"/>
    </row>
    <row r="23" ht="15.75" customHeight="1">
      <c r="A23" s="16">
        <v>33.0</v>
      </c>
      <c r="B23" s="62">
        <v>78.0</v>
      </c>
      <c r="C23" s="62">
        <v>1586.0</v>
      </c>
      <c r="D23" s="18">
        <v>1400.0</v>
      </c>
      <c r="E23" s="63"/>
      <c r="F23" s="62">
        <f t="shared" si="1"/>
        <v>78</v>
      </c>
      <c r="G23" s="20">
        <v>25.0</v>
      </c>
      <c r="H23" s="20">
        <f t="shared" si="2"/>
        <v>53</v>
      </c>
      <c r="I23" s="20">
        <v>8.0</v>
      </c>
      <c r="J23" s="21">
        <f t="shared" si="3"/>
        <v>424</v>
      </c>
      <c r="K23" s="61"/>
      <c r="L23" s="62">
        <f t="shared" si="4"/>
        <v>1586</v>
      </c>
      <c r="M23" s="20">
        <v>1581.0</v>
      </c>
      <c r="N23" s="20">
        <f t="shared" si="5"/>
        <v>5</v>
      </c>
      <c r="O23" s="20">
        <v>20.0</v>
      </c>
      <c r="P23" s="21">
        <f t="shared" si="6"/>
        <v>100</v>
      </c>
      <c r="Q23" s="61"/>
      <c r="R23" s="22">
        <f t="shared" si="7"/>
        <v>1924</v>
      </c>
      <c r="S23" s="20">
        <v>20.0</v>
      </c>
      <c r="T23" s="23">
        <f t="shared" si="8"/>
        <v>1944</v>
      </c>
      <c r="U23" s="58"/>
    </row>
    <row r="24" ht="15.75" customHeight="1">
      <c r="A24" s="64"/>
      <c r="B24" s="25" t="s">
        <v>12</v>
      </c>
      <c r="C24" s="26"/>
      <c r="D24" s="27">
        <f>SUM(D2:D23)</f>
        <v>33800</v>
      </c>
      <c r="E24" s="65"/>
      <c r="F24" s="66"/>
      <c r="G24" s="66"/>
      <c r="H24" s="25" t="s">
        <v>13</v>
      </c>
      <c r="I24" s="26"/>
      <c r="J24" s="29">
        <f>SUM(J2:J23)</f>
        <v>11848</v>
      </c>
      <c r="K24" s="64"/>
      <c r="L24" s="66"/>
      <c r="M24" s="66"/>
      <c r="N24" s="25" t="s">
        <v>14</v>
      </c>
      <c r="O24" s="26"/>
      <c r="P24" s="29">
        <f>SUM(P2:P23)</f>
        <v>3380</v>
      </c>
      <c r="Q24" s="64"/>
      <c r="R24" s="25" t="s">
        <v>15</v>
      </c>
      <c r="S24" s="26"/>
      <c r="T24" s="29">
        <f>SUM(T2:T23)</f>
        <v>49468</v>
      </c>
      <c r="U24" s="58"/>
    </row>
    <row r="25" ht="15.75" customHeight="1">
      <c r="A25" s="67"/>
      <c r="B25" s="68"/>
      <c r="C25" s="68"/>
      <c r="D25" s="69"/>
      <c r="E25" s="69"/>
      <c r="F25" s="68"/>
      <c r="G25" s="68"/>
      <c r="H25" s="67"/>
      <c r="I25" s="67"/>
      <c r="J25" s="67"/>
      <c r="K25" s="67"/>
      <c r="L25" s="68"/>
      <c r="M25" s="68"/>
      <c r="N25" s="68"/>
      <c r="O25" s="68"/>
      <c r="P25" s="67"/>
      <c r="Q25" s="67"/>
      <c r="R25" s="67"/>
      <c r="S25" s="67"/>
      <c r="T25" s="67"/>
      <c r="U25" s="58"/>
    </row>
    <row r="26" ht="15.75" customHeight="1">
      <c r="A26" s="6" t="s">
        <v>16</v>
      </c>
      <c r="B26" s="59">
        <v>20839.0</v>
      </c>
      <c r="C26" s="59">
        <v>1364.0</v>
      </c>
      <c r="D26" s="32">
        <v>15000.0</v>
      </c>
      <c r="E26" s="70"/>
      <c r="F26" s="59">
        <f>B26</f>
        <v>20839</v>
      </c>
      <c r="G26" s="59">
        <v>20437.0</v>
      </c>
      <c r="H26" s="8">
        <f>F26-G26</f>
        <v>402</v>
      </c>
      <c r="I26" s="8">
        <v>8.0</v>
      </c>
      <c r="J26" s="34">
        <f>H26*I26</f>
        <v>3216</v>
      </c>
      <c r="K26" s="57"/>
      <c r="L26" s="59">
        <f>C26</f>
        <v>1364</v>
      </c>
      <c r="M26" s="59">
        <v>1358.0</v>
      </c>
      <c r="N26" s="8">
        <f>L26-M26</f>
        <v>6</v>
      </c>
      <c r="O26" s="8">
        <v>20.0</v>
      </c>
      <c r="P26" s="34">
        <f>N26*O26</f>
        <v>120</v>
      </c>
      <c r="Q26" s="57"/>
      <c r="R26" s="35">
        <f>J26+P26+D26</f>
        <v>18336</v>
      </c>
      <c r="S26" s="8">
        <v>20.0</v>
      </c>
      <c r="T26" s="36">
        <f>R26+S26</f>
        <v>18356</v>
      </c>
      <c r="U26" s="58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1"/>
      <c r="M27" s="51"/>
      <c r="N27" s="51"/>
      <c r="O27" s="51"/>
      <c r="P27" s="55"/>
      <c r="Q27" s="55"/>
      <c r="R27" s="37" t="s">
        <v>17</v>
      </c>
      <c r="S27" s="38"/>
      <c r="T27" s="39">
        <f>SUM(T24+T26)</f>
        <v>67824</v>
      </c>
      <c r="U27" s="58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1"/>
      <c r="M28" s="51"/>
      <c r="N28" s="51"/>
      <c r="O28" s="51"/>
      <c r="P28" s="55"/>
      <c r="Q28" s="55"/>
      <c r="R28" s="55"/>
      <c r="S28" s="55"/>
      <c r="T28" s="55"/>
      <c r="U28" s="58"/>
    </row>
    <row r="29" ht="15.75" customHeight="1">
      <c r="A29" s="55"/>
      <c r="B29" s="55"/>
      <c r="C29" s="55"/>
      <c r="D29" s="55"/>
      <c r="E29" s="55"/>
      <c r="F29" s="55"/>
      <c r="G29" s="40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1" t="s">
        <v>23</v>
      </c>
      <c r="S29" s="7">
        <f>sum(S2:S23)+S26</f>
        <v>460</v>
      </c>
      <c r="T29" s="55"/>
      <c r="U29" s="58"/>
    </row>
    <row r="30" ht="15.75" customHeight="1">
      <c r="A30" s="55"/>
      <c r="B30" s="71"/>
      <c r="C30" s="72"/>
      <c r="D30" s="72"/>
      <c r="E30" s="73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8"/>
    </row>
    <row r="31" ht="15.75" customHeight="1">
      <c r="A31" s="55"/>
      <c r="B31" s="74"/>
      <c r="C31" s="61"/>
      <c r="D31" s="61"/>
      <c r="E31" s="75"/>
      <c r="F31" s="55"/>
      <c r="G31" s="46"/>
      <c r="H31" s="4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8"/>
    </row>
    <row r="32" ht="15.75" customHeight="1">
      <c r="A32" s="55"/>
      <c r="B32" s="74"/>
      <c r="C32" s="48" t="s">
        <v>18</v>
      </c>
      <c r="D32" s="49"/>
      <c r="E32" s="75"/>
      <c r="F32" s="55"/>
      <c r="G32" s="46" t="s">
        <v>19</v>
      </c>
      <c r="H32" s="47">
        <f>T27</f>
        <v>67824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8"/>
    </row>
    <row r="33" ht="15.75" customHeight="1">
      <c r="A33" s="55"/>
      <c r="B33" s="74"/>
      <c r="C33" s="48" t="s">
        <v>20</v>
      </c>
      <c r="D33" s="49"/>
      <c r="E33" s="75"/>
      <c r="F33" s="55"/>
      <c r="G33" s="55"/>
      <c r="H33" s="50">
        <f>SUM(H31:H32)</f>
        <v>67824</v>
      </c>
      <c r="I33" s="51" t="s">
        <v>21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8"/>
    </row>
    <row r="34" ht="15.75" customHeight="1">
      <c r="A34" s="55"/>
      <c r="B34" s="74"/>
      <c r="C34" s="61"/>
      <c r="D34" s="61"/>
      <c r="E34" s="7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8"/>
    </row>
    <row r="35" ht="15.75" customHeight="1">
      <c r="A35" s="55"/>
      <c r="B35" s="76"/>
      <c r="C35" s="77"/>
      <c r="D35" s="77"/>
      <c r="E35" s="78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 ht="15.75" customHeight="1">
      <c r="A2" s="79" t="s">
        <v>11</v>
      </c>
      <c r="B2" s="8">
        <v>5593.0</v>
      </c>
      <c r="C2" s="8">
        <v>1505.0</v>
      </c>
      <c r="D2" s="7">
        <v>1500.0</v>
      </c>
      <c r="E2" s="3"/>
      <c r="F2" s="5">
        <f t="shared" ref="F2:F23" si="1">B2</f>
        <v>5593</v>
      </c>
      <c r="G2" s="59">
        <v>5366.0</v>
      </c>
      <c r="H2" s="8">
        <f t="shared" ref="H2:H23" si="2">F2-G2</f>
        <v>227</v>
      </c>
      <c r="I2" s="8">
        <v>8.0</v>
      </c>
      <c r="J2" s="9">
        <f t="shared" ref="J2:J23" si="3">H2*I2</f>
        <v>1816</v>
      </c>
      <c r="K2" s="3"/>
      <c r="L2" s="5">
        <f t="shared" ref="L2:L23" si="4">C2</f>
        <v>1505</v>
      </c>
      <c r="M2" s="59">
        <v>1491.0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3596</v>
      </c>
      <c r="S2" s="8">
        <v>20.0</v>
      </c>
      <c r="T2" s="9">
        <f t="shared" ref="T2:T23" si="8">R2+S2</f>
        <v>3616</v>
      </c>
    </row>
    <row r="3" ht="15.75" customHeight="1">
      <c r="A3" s="10">
        <v>13.0</v>
      </c>
      <c r="B3" s="14">
        <v>3314.0</v>
      </c>
      <c r="C3" s="14">
        <v>1713.0</v>
      </c>
      <c r="D3" s="12">
        <v>1500.0</v>
      </c>
      <c r="E3" s="13"/>
      <c r="F3" s="11">
        <f t="shared" si="1"/>
        <v>3314</v>
      </c>
      <c r="G3" s="60">
        <v>3291.0</v>
      </c>
      <c r="H3" s="14">
        <f t="shared" si="2"/>
        <v>23</v>
      </c>
      <c r="I3" s="14">
        <v>8.0</v>
      </c>
      <c r="J3" s="15">
        <f t="shared" si="3"/>
        <v>184</v>
      </c>
      <c r="K3" s="13"/>
      <c r="L3" s="11">
        <f t="shared" si="4"/>
        <v>1713</v>
      </c>
      <c r="M3" s="60">
        <v>1710.0</v>
      </c>
      <c r="N3" s="14">
        <f t="shared" si="5"/>
        <v>3</v>
      </c>
      <c r="O3" s="14">
        <v>20.0</v>
      </c>
      <c r="P3" s="15">
        <f t="shared" si="6"/>
        <v>60</v>
      </c>
      <c r="Q3" s="13"/>
      <c r="R3" s="14">
        <f t="shared" si="7"/>
        <v>1744</v>
      </c>
      <c r="S3" s="14">
        <v>20.0</v>
      </c>
      <c r="T3" s="15">
        <f t="shared" si="8"/>
        <v>1764</v>
      </c>
    </row>
    <row r="4" ht="15.75" customHeight="1">
      <c r="A4" s="6">
        <v>14.0</v>
      </c>
      <c r="B4" s="8">
        <v>10002.0</v>
      </c>
      <c r="C4" s="8">
        <v>3327.0</v>
      </c>
      <c r="D4" s="7">
        <v>1200.0</v>
      </c>
      <c r="E4" s="3"/>
      <c r="F4" s="5">
        <f t="shared" si="1"/>
        <v>10002</v>
      </c>
      <c r="G4" s="59">
        <v>9927.0</v>
      </c>
      <c r="H4" s="8">
        <f t="shared" si="2"/>
        <v>75</v>
      </c>
      <c r="I4" s="8">
        <v>8.0</v>
      </c>
      <c r="J4" s="9">
        <f t="shared" si="3"/>
        <v>600</v>
      </c>
      <c r="K4" s="3"/>
      <c r="L4" s="5">
        <f t="shared" si="4"/>
        <v>3327</v>
      </c>
      <c r="M4" s="59">
        <v>3313.0</v>
      </c>
      <c r="N4" s="8">
        <f t="shared" si="5"/>
        <v>14</v>
      </c>
      <c r="O4" s="8">
        <v>20.0</v>
      </c>
      <c r="P4" s="9">
        <f t="shared" si="6"/>
        <v>280</v>
      </c>
      <c r="Q4" s="3"/>
      <c r="R4" s="8">
        <f t="shared" si="7"/>
        <v>2080</v>
      </c>
      <c r="S4" s="8">
        <v>20.0</v>
      </c>
      <c r="T4" s="9">
        <f t="shared" si="8"/>
        <v>2100</v>
      </c>
    </row>
    <row r="5" ht="15.75" customHeight="1">
      <c r="A5" s="10">
        <v>15.0</v>
      </c>
      <c r="B5" s="14">
        <v>9979.0</v>
      </c>
      <c r="C5" s="14">
        <v>1642.0</v>
      </c>
      <c r="D5" s="12">
        <v>1200.0</v>
      </c>
      <c r="E5" s="13"/>
      <c r="F5" s="11">
        <f t="shared" si="1"/>
        <v>9979</v>
      </c>
      <c r="G5" s="60">
        <v>9876.0</v>
      </c>
      <c r="H5" s="14">
        <f t="shared" si="2"/>
        <v>103</v>
      </c>
      <c r="I5" s="14">
        <v>8.0</v>
      </c>
      <c r="J5" s="15">
        <f t="shared" si="3"/>
        <v>824</v>
      </c>
      <c r="K5" s="13"/>
      <c r="L5" s="11">
        <f t="shared" si="4"/>
        <v>1642</v>
      </c>
      <c r="M5" s="60">
        <v>1639.0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2084</v>
      </c>
      <c r="S5" s="14">
        <v>20.0</v>
      </c>
      <c r="T5" s="15">
        <f t="shared" si="8"/>
        <v>2104</v>
      </c>
    </row>
    <row r="6" ht="15.75" customHeight="1">
      <c r="A6" s="6">
        <v>16.0</v>
      </c>
      <c r="B6" s="8">
        <v>8680.0</v>
      </c>
      <c r="C6" s="8">
        <v>320.0</v>
      </c>
      <c r="D6" s="7">
        <v>2000.0</v>
      </c>
      <c r="E6" s="3"/>
      <c r="F6" s="5">
        <f t="shared" si="1"/>
        <v>8680</v>
      </c>
      <c r="G6" s="59">
        <v>8571.0</v>
      </c>
      <c r="H6" s="8">
        <f t="shared" si="2"/>
        <v>109</v>
      </c>
      <c r="I6" s="8">
        <v>8.0</v>
      </c>
      <c r="J6" s="9">
        <f t="shared" si="3"/>
        <v>872</v>
      </c>
      <c r="K6" s="3"/>
      <c r="L6" s="5">
        <f t="shared" si="4"/>
        <v>320</v>
      </c>
      <c r="M6" s="59">
        <v>310.0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3072</v>
      </c>
      <c r="S6" s="8">
        <v>20.0</v>
      </c>
      <c r="T6" s="9">
        <f t="shared" si="8"/>
        <v>3092</v>
      </c>
    </row>
    <row r="7" ht="15.75" customHeight="1">
      <c r="A7" s="80">
        <v>17.0</v>
      </c>
      <c r="B7" s="14">
        <v>1831.0</v>
      </c>
      <c r="C7" s="14">
        <v>3024.0</v>
      </c>
      <c r="D7" s="12">
        <v>1500.0</v>
      </c>
      <c r="E7" s="13"/>
      <c r="F7" s="11">
        <f t="shared" si="1"/>
        <v>1831</v>
      </c>
      <c r="G7" s="60">
        <v>1829.0</v>
      </c>
      <c r="H7" s="14">
        <f t="shared" si="2"/>
        <v>2</v>
      </c>
      <c r="I7" s="14">
        <v>8.0</v>
      </c>
      <c r="J7" s="15">
        <f t="shared" si="3"/>
        <v>16</v>
      </c>
      <c r="K7" s="13"/>
      <c r="L7" s="11">
        <f t="shared" si="4"/>
        <v>3024</v>
      </c>
      <c r="M7" s="60">
        <v>3023.0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1536</v>
      </c>
      <c r="S7" s="14">
        <v>20.0</v>
      </c>
      <c r="T7" s="15">
        <f t="shared" si="8"/>
        <v>1556</v>
      </c>
    </row>
    <row r="8" ht="15.75" customHeight="1">
      <c r="A8" s="6">
        <v>18.0</v>
      </c>
      <c r="B8" s="8">
        <v>9841.0</v>
      </c>
      <c r="C8" s="8">
        <v>1403.0</v>
      </c>
      <c r="D8" s="7">
        <v>1500.0</v>
      </c>
      <c r="E8" s="3"/>
      <c r="F8" s="5">
        <f t="shared" si="1"/>
        <v>9841</v>
      </c>
      <c r="G8" s="59">
        <v>9809.0</v>
      </c>
      <c r="H8" s="8">
        <f t="shared" si="2"/>
        <v>32</v>
      </c>
      <c r="I8" s="8">
        <v>8.0</v>
      </c>
      <c r="J8" s="9">
        <f t="shared" si="3"/>
        <v>256</v>
      </c>
      <c r="K8" s="3"/>
      <c r="L8" s="5">
        <f t="shared" si="4"/>
        <v>1403</v>
      </c>
      <c r="M8" s="59">
        <v>1395.0</v>
      </c>
      <c r="N8" s="8">
        <f t="shared" si="5"/>
        <v>8</v>
      </c>
      <c r="O8" s="8">
        <v>20.0</v>
      </c>
      <c r="P8" s="9">
        <f t="shared" si="6"/>
        <v>160</v>
      </c>
      <c r="Q8" s="3"/>
      <c r="R8" s="8">
        <f t="shared" si="7"/>
        <v>1916</v>
      </c>
      <c r="S8" s="8">
        <v>20.0</v>
      </c>
      <c r="T8" s="9">
        <f t="shared" si="8"/>
        <v>1936</v>
      </c>
    </row>
    <row r="9" ht="15.75" customHeight="1">
      <c r="A9" s="10">
        <v>19.0</v>
      </c>
      <c r="B9" s="14">
        <v>10049.0</v>
      </c>
      <c r="C9" s="14">
        <v>1575.0</v>
      </c>
      <c r="D9" s="12">
        <v>1500.0</v>
      </c>
      <c r="E9" s="13"/>
      <c r="F9" s="11">
        <f t="shared" si="1"/>
        <v>10049</v>
      </c>
      <c r="G9" s="60">
        <v>10026.0</v>
      </c>
      <c r="H9" s="14">
        <f t="shared" si="2"/>
        <v>23</v>
      </c>
      <c r="I9" s="14">
        <v>8.0</v>
      </c>
      <c r="J9" s="15">
        <f t="shared" si="3"/>
        <v>184</v>
      </c>
      <c r="K9" s="13"/>
      <c r="L9" s="11">
        <f t="shared" si="4"/>
        <v>1575</v>
      </c>
      <c r="M9" s="60">
        <v>1569.0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1804</v>
      </c>
      <c r="S9" s="14">
        <v>20.0</v>
      </c>
      <c r="T9" s="15">
        <f t="shared" si="8"/>
        <v>1824</v>
      </c>
    </row>
    <row r="10" ht="15.75" customHeight="1">
      <c r="A10" s="6">
        <v>20.0</v>
      </c>
      <c r="B10" s="8">
        <v>6247.0</v>
      </c>
      <c r="C10" s="8">
        <v>1968.0</v>
      </c>
      <c r="D10" s="7">
        <v>1500.0</v>
      </c>
      <c r="E10" s="3"/>
      <c r="F10" s="5">
        <f t="shared" si="1"/>
        <v>6247</v>
      </c>
      <c r="G10" s="59">
        <v>6132.0</v>
      </c>
      <c r="H10" s="8">
        <f t="shared" si="2"/>
        <v>115</v>
      </c>
      <c r="I10" s="8">
        <v>8.0</v>
      </c>
      <c r="J10" s="9">
        <f t="shared" si="3"/>
        <v>920</v>
      </c>
      <c r="K10" s="3"/>
      <c r="L10" s="5">
        <f t="shared" si="4"/>
        <v>1968</v>
      </c>
      <c r="M10" s="59">
        <v>1954.0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2700</v>
      </c>
      <c r="S10" s="8">
        <v>20.0</v>
      </c>
      <c r="T10" s="9">
        <f t="shared" si="8"/>
        <v>2720</v>
      </c>
    </row>
    <row r="11" ht="15.75" customHeight="1">
      <c r="A11" s="10">
        <v>21.0</v>
      </c>
      <c r="B11" s="14">
        <v>941.0</v>
      </c>
      <c r="C11" s="14">
        <v>91.0</v>
      </c>
      <c r="D11" s="12">
        <v>1500.0</v>
      </c>
      <c r="E11" s="13"/>
      <c r="F11" s="11">
        <f t="shared" si="1"/>
        <v>941</v>
      </c>
      <c r="G11" s="60">
        <v>926.0</v>
      </c>
      <c r="H11" s="14">
        <f t="shared" si="2"/>
        <v>15</v>
      </c>
      <c r="I11" s="14">
        <v>8.0</v>
      </c>
      <c r="J11" s="15">
        <f t="shared" si="3"/>
        <v>120</v>
      </c>
      <c r="K11" s="13"/>
      <c r="L11" s="11">
        <f t="shared" si="4"/>
        <v>91</v>
      </c>
      <c r="M11" s="60">
        <v>89.0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1660</v>
      </c>
      <c r="S11" s="14">
        <v>20.0</v>
      </c>
      <c r="T11" s="15">
        <f t="shared" si="8"/>
        <v>1680</v>
      </c>
    </row>
    <row r="12" ht="15.75" customHeight="1">
      <c r="A12" s="6">
        <v>22.0</v>
      </c>
      <c r="B12" s="8">
        <v>3406.0</v>
      </c>
      <c r="C12" s="8">
        <v>1447.0</v>
      </c>
      <c r="D12" s="7">
        <v>1500.0</v>
      </c>
      <c r="E12" s="3"/>
      <c r="F12" s="5">
        <f t="shared" si="1"/>
        <v>3406</v>
      </c>
      <c r="G12" s="59">
        <v>3402.0</v>
      </c>
      <c r="H12" s="8">
        <f t="shared" si="2"/>
        <v>4</v>
      </c>
      <c r="I12" s="8">
        <v>8.0</v>
      </c>
      <c r="J12" s="9">
        <f t="shared" si="3"/>
        <v>32</v>
      </c>
      <c r="K12" s="3"/>
      <c r="L12" s="5">
        <f t="shared" si="4"/>
        <v>1447</v>
      </c>
      <c r="M12" s="59">
        <v>1446.0</v>
      </c>
      <c r="N12" s="8">
        <f t="shared" si="5"/>
        <v>1</v>
      </c>
      <c r="O12" s="8">
        <v>20.0</v>
      </c>
      <c r="P12" s="9">
        <f t="shared" si="6"/>
        <v>20</v>
      </c>
      <c r="Q12" s="3"/>
      <c r="R12" s="8">
        <f t="shared" si="7"/>
        <v>1552</v>
      </c>
      <c r="S12" s="8">
        <v>20.0</v>
      </c>
      <c r="T12" s="9">
        <f t="shared" si="8"/>
        <v>1572</v>
      </c>
    </row>
    <row r="13" ht="15.75" customHeight="1">
      <c r="A13" s="10">
        <v>23.0</v>
      </c>
      <c r="B13" s="14">
        <v>1996.0</v>
      </c>
      <c r="C13" s="14">
        <v>1148.0</v>
      </c>
      <c r="D13" s="12">
        <v>1500.0</v>
      </c>
      <c r="E13" s="13"/>
      <c r="F13" s="11">
        <f t="shared" si="1"/>
        <v>1996</v>
      </c>
      <c r="G13" s="60">
        <v>1952.0</v>
      </c>
      <c r="H13" s="14">
        <f t="shared" si="2"/>
        <v>44</v>
      </c>
      <c r="I13" s="14">
        <v>8.0</v>
      </c>
      <c r="J13" s="15">
        <f t="shared" si="3"/>
        <v>352</v>
      </c>
      <c r="K13" s="13"/>
      <c r="L13" s="11">
        <f t="shared" si="4"/>
        <v>1148</v>
      </c>
      <c r="M13" s="60">
        <v>1144.0</v>
      </c>
      <c r="N13" s="14">
        <f t="shared" si="5"/>
        <v>4</v>
      </c>
      <c r="O13" s="14">
        <v>20.0</v>
      </c>
      <c r="P13" s="15">
        <f t="shared" si="6"/>
        <v>80</v>
      </c>
      <c r="Q13" s="13"/>
      <c r="R13" s="14">
        <f t="shared" si="7"/>
        <v>1932</v>
      </c>
      <c r="S13" s="14">
        <v>20.0</v>
      </c>
      <c r="T13" s="15">
        <f t="shared" si="8"/>
        <v>1952</v>
      </c>
    </row>
    <row r="14" ht="15.75" customHeight="1">
      <c r="A14" s="6">
        <v>24.0</v>
      </c>
      <c r="B14" s="8">
        <v>4044.0</v>
      </c>
      <c r="C14" s="8">
        <v>1105.0</v>
      </c>
      <c r="D14" s="7">
        <v>2000.0</v>
      </c>
      <c r="E14" s="3"/>
      <c r="F14" s="5">
        <f t="shared" si="1"/>
        <v>4044</v>
      </c>
      <c r="G14" s="59">
        <v>3941.0</v>
      </c>
      <c r="H14" s="8">
        <f t="shared" si="2"/>
        <v>103</v>
      </c>
      <c r="I14" s="8">
        <v>8.0</v>
      </c>
      <c r="J14" s="9">
        <f t="shared" si="3"/>
        <v>824</v>
      </c>
      <c r="K14" s="3"/>
      <c r="L14" s="5">
        <f t="shared" si="4"/>
        <v>1105</v>
      </c>
      <c r="M14" s="59">
        <v>1077.0</v>
      </c>
      <c r="N14" s="8">
        <f t="shared" si="5"/>
        <v>28</v>
      </c>
      <c r="O14" s="8">
        <v>20.0</v>
      </c>
      <c r="P14" s="9">
        <f t="shared" si="6"/>
        <v>560</v>
      </c>
      <c r="Q14" s="3"/>
      <c r="R14" s="8">
        <f t="shared" si="7"/>
        <v>3384</v>
      </c>
      <c r="S14" s="8">
        <v>20.0</v>
      </c>
      <c r="T14" s="9">
        <f t="shared" si="8"/>
        <v>3404</v>
      </c>
    </row>
    <row r="15" ht="15.75" customHeight="1">
      <c r="A15" s="80">
        <v>25.0</v>
      </c>
      <c r="B15" s="14">
        <v>4093.0</v>
      </c>
      <c r="C15" s="14">
        <v>1988.0</v>
      </c>
      <c r="D15" s="12">
        <v>1500.0</v>
      </c>
      <c r="E15" s="13"/>
      <c r="F15" s="11">
        <f t="shared" si="1"/>
        <v>4093</v>
      </c>
      <c r="G15" s="60">
        <v>4078.0</v>
      </c>
      <c r="H15" s="14">
        <f t="shared" si="2"/>
        <v>15</v>
      </c>
      <c r="I15" s="14">
        <v>8.0</v>
      </c>
      <c r="J15" s="15">
        <f t="shared" si="3"/>
        <v>120</v>
      </c>
      <c r="K15" s="13"/>
      <c r="L15" s="11">
        <f t="shared" si="4"/>
        <v>1988</v>
      </c>
      <c r="M15" s="60">
        <v>1979.0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1800</v>
      </c>
      <c r="S15" s="14">
        <v>20.0</v>
      </c>
      <c r="T15" s="15">
        <f t="shared" si="8"/>
        <v>1820</v>
      </c>
    </row>
    <row r="16" ht="15.75" customHeight="1">
      <c r="A16" s="79">
        <v>26.0</v>
      </c>
      <c r="B16" s="8">
        <v>1935.0</v>
      </c>
      <c r="C16" s="8">
        <v>1582.0</v>
      </c>
      <c r="D16" s="7">
        <v>2000.0</v>
      </c>
      <c r="E16" s="3"/>
      <c r="F16" s="5">
        <f t="shared" si="1"/>
        <v>1935</v>
      </c>
      <c r="G16" s="59">
        <v>1870.0</v>
      </c>
      <c r="H16" s="8">
        <f t="shared" si="2"/>
        <v>65</v>
      </c>
      <c r="I16" s="8">
        <v>8.0</v>
      </c>
      <c r="J16" s="9">
        <f t="shared" si="3"/>
        <v>520</v>
      </c>
      <c r="K16" s="3"/>
      <c r="L16" s="5">
        <f t="shared" si="4"/>
        <v>1582</v>
      </c>
      <c r="M16" s="59">
        <v>1575.0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2660</v>
      </c>
      <c r="S16" s="8">
        <v>20.0</v>
      </c>
      <c r="T16" s="9">
        <f t="shared" si="8"/>
        <v>2680</v>
      </c>
    </row>
    <row r="17" ht="15.75" customHeight="1">
      <c r="A17" s="10">
        <v>27.0</v>
      </c>
      <c r="B17" s="14">
        <v>4786.0</v>
      </c>
      <c r="C17" s="14">
        <v>1736.0</v>
      </c>
      <c r="D17" s="12">
        <v>1500.0</v>
      </c>
      <c r="E17" s="13"/>
      <c r="F17" s="11">
        <f t="shared" si="1"/>
        <v>4786</v>
      </c>
      <c r="G17" s="60">
        <v>4666.0</v>
      </c>
      <c r="H17" s="14">
        <f t="shared" si="2"/>
        <v>120</v>
      </c>
      <c r="I17" s="14">
        <v>8.0</v>
      </c>
      <c r="J17" s="15">
        <f t="shared" si="3"/>
        <v>960</v>
      </c>
      <c r="K17" s="13"/>
      <c r="L17" s="11">
        <f t="shared" si="4"/>
        <v>1736</v>
      </c>
      <c r="M17" s="60">
        <v>1719.0</v>
      </c>
      <c r="N17" s="14">
        <f t="shared" si="5"/>
        <v>17</v>
      </c>
      <c r="O17" s="14">
        <v>20.0</v>
      </c>
      <c r="P17" s="15">
        <f t="shared" si="6"/>
        <v>340</v>
      </c>
      <c r="Q17" s="13"/>
      <c r="R17" s="14">
        <f t="shared" si="7"/>
        <v>2800</v>
      </c>
      <c r="S17" s="14">
        <v>20.0</v>
      </c>
      <c r="T17" s="15">
        <f t="shared" si="8"/>
        <v>2820</v>
      </c>
    </row>
    <row r="18" ht="15.75" customHeight="1">
      <c r="A18" s="6">
        <v>28.0</v>
      </c>
      <c r="B18" s="8">
        <v>821.0</v>
      </c>
      <c r="C18" s="8">
        <v>565.0</v>
      </c>
      <c r="D18" s="7">
        <v>1500.0</v>
      </c>
      <c r="E18" s="3"/>
      <c r="F18" s="5">
        <f t="shared" si="1"/>
        <v>821</v>
      </c>
      <c r="G18" s="59">
        <v>763.0</v>
      </c>
      <c r="H18" s="8">
        <f t="shared" si="2"/>
        <v>58</v>
      </c>
      <c r="I18" s="8">
        <v>8.0</v>
      </c>
      <c r="J18" s="9">
        <f t="shared" si="3"/>
        <v>464</v>
      </c>
      <c r="K18" s="3"/>
      <c r="L18" s="5">
        <f t="shared" si="4"/>
        <v>565</v>
      </c>
      <c r="M18" s="59">
        <v>558.0</v>
      </c>
      <c r="N18" s="8">
        <f t="shared" si="5"/>
        <v>7</v>
      </c>
      <c r="O18" s="8">
        <v>20.0</v>
      </c>
      <c r="P18" s="9">
        <f t="shared" si="6"/>
        <v>140</v>
      </c>
      <c r="Q18" s="3"/>
      <c r="R18" s="8">
        <f t="shared" si="7"/>
        <v>2104</v>
      </c>
      <c r="S18" s="8">
        <v>20.0</v>
      </c>
      <c r="T18" s="9">
        <f t="shared" si="8"/>
        <v>2124</v>
      </c>
    </row>
    <row r="19" ht="15.75" customHeight="1">
      <c r="A19" s="10">
        <v>29.0</v>
      </c>
      <c r="B19" s="14">
        <v>1694.0</v>
      </c>
      <c r="C19" s="14">
        <v>1200.0</v>
      </c>
      <c r="D19" s="12">
        <v>1500.0</v>
      </c>
      <c r="E19" s="13"/>
      <c r="F19" s="11">
        <f t="shared" si="1"/>
        <v>1694</v>
      </c>
      <c r="G19" s="60">
        <v>1692.0</v>
      </c>
      <c r="H19" s="14">
        <f t="shared" si="2"/>
        <v>2</v>
      </c>
      <c r="I19" s="14">
        <v>8.0</v>
      </c>
      <c r="J19" s="15">
        <f t="shared" si="3"/>
        <v>16</v>
      </c>
      <c r="K19" s="13"/>
      <c r="L19" s="11">
        <f t="shared" si="4"/>
        <v>1200</v>
      </c>
      <c r="M19" s="60">
        <v>1199.0</v>
      </c>
      <c r="N19" s="14">
        <f t="shared" si="5"/>
        <v>1</v>
      </c>
      <c r="O19" s="14">
        <v>20.0</v>
      </c>
      <c r="P19" s="15">
        <f t="shared" si="6"/>
        <v>20</v>
      </c>
      <c r="Q19" s="13"/>
      <c r="R19" s="14">
        <f t="shared" si="7"/>
        <v>1536</v>
      </c>
      <c r="S19" s="14">
        <v>20.0</v>
      </c>
      <c r="T19" s="15">
        <f t="shared" si="8"/>
        <v>1556</v>
      </c>
    </row>
    <row r="20" ht="15.75" customHeight="1">
      <c r="A20" s="6">
        <v>30.0</v>
      </c>
      <c r="B20" s="8">
        <v>183.0</v>
      </c>
      <c r="C20" s="8">
        <v>1388.0</v>
      </c>
      <c r="D20" s="7">
        <v>1500.0</v>
      </c>
      <c r="E20" s="3"/>
      <c r="F20" s="5">
        <f t="shared" si="1"/>
        <v>183</v>
      </c>
      <c r="G20" s="59">
        <v>109.0</v>
      </c>
      <c r="H20" s="8">
        <f t="shared" si="2"/>
        <v>74</v>
      </c>
      <c r="I20" s="8">
        <v>8.0</v>
      </c>
      <c r="J20" s="9">
        <f t="shared" si="3"/>
        <v>592</v>
      </c>
      <c r="K20" s="3"/>
      <c r="L20" s="5">
        <f t="shared" si="4"/>
        <v>1388</v>
      </c>
      <c r="M20" s="59">
        <v>1381.0</v>
      </c>
      <c r="N20" s="8">
        <f t="shared" si="5"/>
        <v>7</v>
      </c>
      <c r="O20" s="8">
        <v>20.0</v>
      </c>
      <c r="P20" s="9">
        <f t="shared" si="6"/>
        <v>140</v>
      </c>
      <c r="Q20" s="3"/>
      <c r="R20" s="8">
        <f t="shared" si="7"/>
        <v>2232</v>
      </c>
      <c r="S20" s="8">
        <v>20.0</v>
      </c>
      <c r="T20" s="9">
        <f t="shared" si="8"/>
        <v>2252</v>
      </c>
    </row>
    <row r="21" ht="15.75" customHeight="1">
      <c r="A21" s="10">
        <v>31.0</v>
      </c>
      <c r="B21" s="14">
        <v>586.0</v>
      </c>
      <c r="C21" s="14">
        <v>1680.0</v>
      </c>
      <c r="D21" s="12">
        <v>1500.0</v>
      </c>
      <c r="E21" s="13"/>
      <c r="F21" s="11">
        <f t="shared" si="1"/>
        <v>586</v>
      </c>
      <c r="G21" s="60">
        <v>518.0</v>
      </c>
      <c r="H21" s="14">
        <f t="shared" si="2"/>
        <v>68</v>
      </c>
      <c r="I21" s="14">
        <v>8.0</v>
      </c>
      <c r="J21" s="15">
        <f t="shared" si="3"/>
        <v>544</v>
      </c>
      <c r="K21" s="13"/>
      <c r="L21" s="11">
        <f t="shared" si="4"/>
        <v>1680</v>
      </c>
      <c r="M21" s="60">
        <v>1672.0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2204</v>
      </c>
      <c r="S21" s="14">
        <v>20.0</v>
      </c>
      <c r="T21" s="15">
        <f t="shared" si="8"/>
        <v>2224</v>
      </c>
    </row>
    <row r="22" ht="15.75" customHeight="1">
      <c r="A22" s="6">
        <v>32.0</v>
      </c>
      <c r="B22" s="8">
        <v>997.0</v>
      </c>
      <c r="C22" s="8">
        <v>1300.0</v>
      </c>
      <c r="D22" s="7">
        <v>1500.0</v>
      </c>
      <c r="E22" s="3"/>
      <c r="F22" s="5">
        <f t="shared" si="1"/>
        <v>997</v>
      </c>
      <c r="G22" s="59">
        <v>997.0</v>
      </c>
      <c r="H22" s="8">
        <f t="shared" si="2"/>
        <v>0</v>
      </c>
      <c r="I22" s="8">
        <v>8.0</v>
      </c>
      <c r="J22" s="9">
        <f t="shared" si="3"/>
        <v>0</v>
      </c>
      <c r="K22" s="3"/>
      <c r="L22" s="5">
        <f t="shared" si="4"/>
        <v>1300</v>
      </c>
      <c r="M22" s="59">
        <v>1299.0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1520</v>
      </c>
      <c r="S22" s="8">
        <v>20.0</v>
      </c>
      <c r="T22" s="9">
        <f t="shared" si="8"/>
        <v>1540</v>
      </c>
    </row>
    <row r="23" ht="15.75" customHeight="1">
      <c r="A23" s="16">
        <v>33.0</v>
      </c>
      <c r="B23" s="20">
        <v>122.0</v>
      </c>
      <c r="C23" s="20">
        <v>1590.0</v>
      </c>
      <c r="D23" s="18">
        <v>1400.0</v>
      </c>
      <c r="E23" s="19"/>
      <c r="F23" s="17">
        <f t="shared" si="1"/>
        <v>122</v>
      </c>
      <c r="G23" s="62">
        <v>78.0</v>
      </c>
      <c r="H23" s="20">
        <f t="shared" si="2"/>
        <v>44</v>
      </c>
      <c r="I23" s="20">
        <v>8.0</v>
      </c>
      <c r="J23" s="21">
        <f t="shared" si="3"/>
        <v>352</v>
      </c>
      <c r="K23" s="13"/>
      <c r="L23" s="17">
        <f t="shared" si="4"/>
        <v>1590</v>
      </c>
      <c r="M23" s="62">
        <v>1586.0</v>
      </c>
      <c r="N23" s="20">
        <f t="shared" si="5"/>
        <v>4</v>
      </c>
      <c r="O23" s="20">
        <v>20.0</v>
      </c>
      <c r="P23" s="21">
        <f t="shared" si="6"/>
        <v>80</v>
      </c>
      <c r="Q23" s="13"/>
      <c r="R23" s="22">
        <f t="shared" si="7"/>
        <v>1832</v>
      </c>
      <c r="S23" s="20">
        <v>20.0</v>
      </c>
      <c r="T23" s="23">
        <f t="shared" si="8"/>
        <v>1852</v>
      </c>
    </row>
    <row r="24" ht="15.75" customHeight="1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10568</v>
      </c>
      <c r="K24" s="24"/>
      <c r="L24" s="24"/>
      <c r="M24" s="24"/>
      <c r="N24" s="25" t="s">
        <v>14</v>
      </c>
      <c r="O24" s="26"/>
      <c r="P24" s="29">
        <f>SUM(P2:P23)</f>
        <v>3380</v>
      </c>
      <c r="Q24" s="24"/>
      <c r="R24" s="25" t="s">
        <v>15</v>
      </c>
      <c r="S24" s="26"/>
      <c r="T24" s="29">
        <f>SUM(T2:T23)</f>
        <v>48188</v>
      </c>
    </row>
    <row r="25" ht="15.75" customHeight="1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ht="15.75" customHeight="1">
      <c r="A26" s="6" t="s">
        <v>16</v>
      </c>
      <c r="B26" s="5">
        <v>20906.0</v>
      </c>
      <c r="C26" s="5">
        <v>1365.0</v>
      </c>
      <c r="D26" s="32">
        <v>15000.0</v>
      </c>
      <c r="E26" s="33"/>
      <c r="F26" s="5">
        <f>B26</f>
        <v>20906</v>
      </c>
      <c r="G26" s="59">
        <v>20839.0</v>
      </c>
      <c r="H26" s="8">
        <f>F26-G26</f>
        <v>67</v>
      </c>
      <c r="I26" s="8">
        <v>6.0</v>
      </c>
      <c r="J26" s="34">
        <f>H26*I26</f>
        <v>402</v>
      </c>
      <c r="K26" s="5"/>
      <c r="L26" s="5">
        <f>C26</f>
        <v>1365</v>
      </c>
      <c r="M26" s="59">
        <v>1364.0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15422</v>
      </c>
      <c r="S26" s="8">
        <v>20.0</v>
      </c>
      <c r="T26" s="36">
        <f>R26+S26</f>
        <v>15442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63630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 ht="15.75" customHeight="1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63630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63630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 ht="15.75" customHeight="1">
      <c r="A2" s="6" t="s">
        <v>11</v>
      </c>
      <c r="B2" s="5">
        <v>5871.0</v>
      </c>
      <c r="C2" s="5">
        <v>1521.0</v>
      </c>
      <c r="D2" s="7">
        <v>1500.0</v>
      </c>
      <c r="E2" s="3"/>
      <c r="F2" s="5">
        <f t="shared" ref="F2:F23" si="1">B2</f>
        <v>5871</v>
      </c>
      <c r="G2" s="8">
        <v>5593.0</v>
      </c>
      <c r="H2" s="8">
        <f t="shared" ref="H2:H23" si="2">F2-G2</f>
        <v>278</v>
      </c>
      <c r="I2" s="8">
        <v>8.0</v>
      </c>
      <c r="J2" s="9">
        <f t="shared" ref="J2:J23" si="3">H2*I2</f>
        <v>2224</v>
      </c>
      <c r="K2" s="3"/>
      <c r="L2" s="5">
        <f t="shared" ref="L2:L23" si="4">C2</f>
        <v>1521</v>
      </c>
      <c r="M2" s="8">
        <v>1505.0</v>
      </c>
      <c r="N2" s="8">
        <f t="shared" ref="N2:N23" si="5">L2-M2</f>
        <v>16</v>
      </c>
      <c r="O2" s="8">
        <v>20.0</v>
      </c>
      <c r="P2" s="9">
        <f t="shared" ref="P2:P23" si="6">N2*O2</f>
        <v>320</v>
      </c>
      <c r="Q2" s="3"/>
      <c r="R2" s="8">
        <f t="shared" ref="R2:R23" si="7">J2+P2+D2</f>
        <v>4044</v>
      </c>
      <c r="S2" s="8">
        <v>20.0</v>
      </c>
      <c r="T2" s="9">
        <f t="shared" ref="T2:T23" si="8">R2+S2</f>
        <v>4064</v>
      </c>
    </row>
    <row r="3" ht="15.75" customHeight="1">
      <c r="A3" s="10">
        <v>13.0</v>
      </c>
      <c r="B3" s="11">
        <v>3338.0</v>
      </c>
      <c r="C3" s="11">
        <v>1717.0</v>
      </c>
      <c r="D3" s="12">
        <v>1500.0</v>
      </c>
      <c r="E3" s="13"/>
      <c r="F3" s="11">
        <f t="shared" si="1"/>
        <v>3338</v>
      </c>
      <c r="G3" s="14">
        <v>3314.0</v>
      </c>
      <c r="H3" s="14">
        <f t="shared" si="2"/>
        <v>24</v>
      </c>
      <c r="I3" s="14">
        <v>8.0</v>
      </c>
      <c r="J3" s="15">
        <f t="shared" si="3"/>
        <v>192</v>
      </c>
      <c r="K3" s="13"/>
      <c r="L3" s="11">
        <f t="shared" si="4"/>
        <v>1717</v>
      </c>
      <c r="M3" s="14">
        <v>1713.0</v>
      </c>
      <c r="N3" s="14">
        <f t="shared" si="5"/>
        <v>4</v>
      </c>
      <c r="O3" s="14">
        <v>20.0</v>
      </c>
      <c r="P3" s="15">
        <f t="shared" si="6"/>
        <v>80</v>
      </c>
      <c r="Q3" s="13"/>
      <c r="R3" s="14">
        <f t="shared" si="7"/>
        <v>1772</v>
      </c>
      <c r="S3" s="14">
        <v>20.0</v>
      </c>
      <c r="T3" s="15">
        <f t="shared" si="8"/>
        <v>1792</v>
      </c>
    </row>
    <row r="4" ht="15.75" customHeight="1">
      <c r="A4" s="6">
        <v>14.0</v>
      </c>
      <c r="B4" s="5">
        <v>86.0</v>
      </c>
      <c r="C4" s="5">
        <v>3340.0</v>
      </c>
      <c r="D4" s="7">
        <v>1200.0</v>
      </c>
      <c r="E4" s="3"/>
      <c r="F4" s="5">
        <f t="shared" si="1"/>
        <v>86</v>
      </c>
      <c r="G4" s="8">
        <v>2.0</v>
      </c>
      <c r="H4" s="8">
        <f t="shared" si="2"/>
        <v>84</v>
      </c>
      <c r="I4" s="8">
        <v>8.0</v>
      </c>
      <c r="J4" s="9">
        <f t="shared" si="3"/>
        <v>672</v>
      </c>
      <c r="K4" s="3"/>
      <c r="L4" s="5">
        <f t="shared" si="4"/>
        <v>3340</v>
      </c>
      <c r="M4" s="8">
        <v>3327.0</v>
      </c>
      <c r="N4" s="8">
        <f t="shared" si="5"/>
        <v>13</v>
      </c>
      <c r="O4" s="8">
        <v>20.0</v>
      </c>
      <c r="P4" s="9">
        <f t="shared" si="6"/>
        <v>260</v>
      </c>
      <c r="Q4" s="3"/>
      <c r="R4" s="8">
        <f t="shared" si="7"/>
        <v>2132</v>
      </c>
      <c r="S4" s="8">
        <v>20.0</v>
      </c>
      <c r="T4" s="9">
        <f t="shared" si="8"/>
        <v>2152</v>
      </c>
    </row>
    <row r="5" ht="15.75" customHeight="1">
      <c r="A5" s="10">
        <v>15.0</v>
      </c>
      <c r="B5" s="11">
        <v>10161.0</v>
      </c>
      <c r="C5" s="11">
        <v>1645.0</v>
      </c>
      <c r="D5" s="12">
        <v>1200.0</v>
      </c>
      <c r="E5" s="13"/>
      <c r="F5" s="11">
        <f t="shared" si="1"/>
        <v>10161</v>
      </c>
      <c r="G5" s="14">
        <v>9979.0</v>
      </c>
      <c r="H5" s="14">
        <f t="shared" si="2"/>
        <v>182</v>
      </c>
      <c r="I5" s="14">
        <v>8.0</v>
      </c>
      <c r="J5" s="15">
        <f t="shared" si="3"/>
        <v>1456</v>
      </c>
      <c r="K5" s="13"/>
      <c r="L5" s="11">
        <f t="shared" si="4"/>
        <v>1645</v>
      </c>
      <c r="M5" s="14">
        <v>1642.0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2716</v>
      </c>
      <c r="S5" s="14">
        <v>20.0</v>
      </c>
      <c r="T5" s="15">
        <f t="shared" si="8"/>
        <v>2736</v>
      </c>
    </row>
    <row r="6" ht="15.75" customHeight="1">
      <c r="A6" s="6">
        <v>16.0</v>
      </c>
      <c r="B6" s="5">
        <v>8820.0</v>
      </c>
      <c r="C6" s="5">
        <v>330.0</v>
      </c>
      <c r="D6" s="7">
        <v>2000.0</v>
      </c>
      <c r="E6" s="3"/>
      <c r="F6" s="5">
        <f t="shared" si="1"/>
        <v>8820</v>
      </c>
      <c r="G6" s="8">
        <v>8680.0</v>
      </c>
      <c r="H6" s="8">
        <f t="shared" si="2"/>
        <v>140</v>
      </c>
      <c r="I6" s="8">
        <v>8.0</v>
      </c>
      <c r="J6" s="9">
        <f t="shared" si="3"/>
        <v>1120</v>
      </c>
      <c r="K6" s="3"/>
      <c r="L6" s="5">
        <f t="shared" si="4"/>
        <v>330</v>
      </c>
      <c r="M6" s="8">
        <v>320.0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3320</v>
      </c>
      <c r="S6" s="8">
        <v>20.0</v>
      </c>
      <c r="T6" s="9">
        <f t="shared" si="8"/>
        <v>3340</v>
      </c>
    </row>
    <row r="7" ht="15.75" customHeight="1">
      <c r="A7" s="10">
        <v>17.0</v>
      </c>
      <c r="B7" s="11">
        <v>1849.0</v>
      </c>
      <c r="C7" s="11">
        <v>3025.0</v>
      </c>
      <c r="D7" s="12">
        <v>1500.0</v>
      </c>
      <c r="E7" s="13"/>
      <c r="F7" s="11">
        <f t="shared" si="1"/>
        <v>1849</v>
      </c>
      <c r="G7" s="14">
        <v>1831.0</v>
      </c>
      <c r="H7" s="14">
        <f t="shared" si="2"/>
        <v>18</v>
      </c>
      <c r="I7" s="14">
        <v>8.0</v>
      </c>
      <c r="J7" s="15">
        <f t="shared" si="3"/>
        <v>144</v>
      </c>
      <c r="K7" s="13"/>
      <c r="L7" s="11">
        <f t="shared" si="4"/>
        <v>3025</v>
      </c>
      <c r="M7" s="14">
        <v>3024.0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1664</v>
      </c>
      <c r="S7" s="14">
        <v>20.0</v>
      </c>
      <c r="T7" s="15">
        <f t="shared" si="8"/>
        <v>1684</v>
      </c>
    </row>
    <row r="8" ht="15.75" customHeight="1">
      <c r="A8" s="6">
        <v>18.0</v>
      </c>
      <c r="B8" s="5">
        <v>9875.0</v>
      </c>
      <c r="C8" s="5">
        <v>1413.0</v>
      </c>
      <c r="D8" s="7">
        <v>1500.0</v>
      </c>
      <c r="E8" s="3"/>
      <c r="F8" s="5">
        <f t="shared" si="1"/>
        <v>9875</v>
      </c>
      <c r="G8" s="8">
        <v>9841.0</v>
      </c>
      <c r="H8" s="8">
        <f t="shared" si="2"/>
        <v>34</v>
      </c>
      <c r="I8" s="8">
        <v>8.0</v>
      </c>
      <c r="J8" s="9">
        <f t="shared" si="3"/>
        <v>272</v>
      </c>
      <c r="K8" s="3"/>
      <c r="L8" s="5">
        <f t="shared" si="4"/>
        <v>1413</v>
      </c>
      <c r="M8" s="8">
        <v>1403.0</v>
      </c>
      <c r="N8" s="8">
        <f t="shared" si="5"/>
        <v>10</v>
      </c>
      <c r="O8" s="8">
        <v>20.0</v>
      </c>
      <c r="P8" s="9">
        <f t="shared" si="6"/>
        <v>200</v>
      </c>
      <c r="Q8" s="3"/>
      <c r="R8" s="8">
        <f t="shared" si="7"/>
        <v>1972</v>
      </c>
      <c r="S8" s="8">
        <v>20.0</v>
      </c>
      <c r="T8" s="9">
        <f t="shared" si="8"/>
        <v>1992</v>
      </c>
    </row>
    <row r="9" ht="15.75" customHeight="1">
      <c r="A9" s="10">
        <v>19.0</v>
      </c>
      <c r="B9" s="11">
        <v>70.0</v>
      </c>
      <c r="C9" s="11">
        <v>1581.0</v>
      </c>
      <c r="D9" s="12">
        <v>1500.0</v>
      </c>
      <c r="E9" s="13"/>
      <c r="F9" s="11">
        <f t="shared" si="1"/>
        <v>70</v>
      </c>
      <c r="G9" s="14">
        <v>49.0</v>
      </c>
      <c r="H9" s="14">
        <f t="shared" si="2"/>
        <v>21</v>
      </c>
      <c r="I9" s="14">
        <v>8.0</v>
      </c>
      <c r="J9" s="15">
        <f t="shared" si="3"/>
        <v>168</v>
      </c>
      <c r="K9" s="13"/>
      <c r="L9" s="11">
        <f t="shared" si="4"/>
        <v>1581</v>
      </c>
      <c r="M9" s="14">
        <v>1575.0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1788</v>
      </c>
      <c r="S9" s="14">
        <v>20.0</v>
      </c>
      <c r="T9" s="15">
        <f t="shared" si="8"/>
        <v>1808</v>
      </c>
    </row>
    <row r="10" ht="15.75" customHeight="1">
      <c r="A10" s="6">
        <v>20.0</v>
      </c>
      <c r="B10" s="5">
        <v>6402.0</v>
      </c>
      <c r="C10" s="5">
        <v>1982.0</v>
      </c>
      <c r="D10" s="7">
        <v>1500.0</v>
      </c>
      <c r="E10" s="3"/>
      <c r="F10" s="5">
        <f t="shared" si="1"/>
        <v>6402</v>
      </c>
      <c r="G10" s="8">
        <v>6247.0</v>
      </c>
      <c r="H10" s="8">
        <f t="shared" si="2"/>
        <v>155</v>
      </c>
      <c r="I10" s="8">
        <v>8.0</v>
      </c>
      <c r="J10" s="9">
        <f t="shared" si="3"/>
        <v>1240</v>
      </c>
      <c r="K10" s="3"/>
      <c r="L10" s="5">
        <f t="shared" si="4"/>
        <v>1982</v>
      </c>
      <c r="M10" s="8">
        <v>1968.0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3020</v>
      </c>
      <c r="S10" s="8">
        <v>20.0</v>
      </c>
      <c r="T10" s="9">
        <f t="shared" si="8"/>
        <v>3040</v>
      </c>
    </row>
    <row r="11" ht="15.75" customHeight="1">
      <c r="A11" s="10">
        <v>21.0</v>
      </c>
      <c r="B11" s="11">
        <v>962.0</v>
      </c>
      <c r="C11" s="11">
        <v>94.0</v>
      </c>
      <c r="D11" s="12">
        <v>1500.0</v>
      </c>
      <c r="E11" s="13"/>
      <c r="F11" s="11">
        <f t="shared" si="1"/>
        <v>962</v>
      </c>
      <c r="G11" s="14">
        <v>941.0</v>
      </c>
      <c r="H11" s="14">
        <f t="shared" si="2"/>
        <v>21</v>
      </c>
      <c r="I11" s="14">
        <v>8.0</v>
      </c>
      <c r="J11" s="15">
        <f t="shared" si="3"/>
        <v>168</v>
      </c>
      <c r="K11" s="13"/>
      <c r="L11" s="11">
        <f t="shared" si="4"/>
        <v>94</v>
      </c>
      <c r="M11" s="14">
        <v>91.0</v>
      </c>
      <c r="N11" s="14">
        <f t="shared" si="5"/>
        <v>3</v>
      </c>
      <c r="O11" s="14">
        <v>20.0</v>
      </c>
      <c r="P11" s="15">
        <f t="shared" si="6"/>
        <v>60</v>
      </c>
      <c r="Q11" s="13"/>
      <c r="R11" s="14">
        <f t="shared" si="7"/>
        <v>1728</v>
      </c>
      <c r="S11" s="14">
        <v>20.0</v>
      </c>
      <c r="T11" s="15">
        <f t="shared" si="8"/>
        <v>1748</v>
      </c>
    </row>
    <row r="12" ht="15.75" customHeight="1">
      <c r="A12" s="6">
        <v>22.0</v>
      </c>
      <c r="B12" s="5">
        <v>3406.0</v>
      </c>
      <c r="C12" s="5">
        <v>1447.0</v>
      </c>
      <c r="D12" s="7">
        <v>1500.0</v>
      </c>
      <c r="E12" s="3"/>
      <c r="F12" s="5">
        <f t="shared" si="1"/>
        <v>3406</v>
      </c>
      <c r="G12" s="8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8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 ht="15.75" customHeight="1">
      <c r="A13" s="10">
        <v>23.0</v>
      </c>
      <c r="B13" s="11">
        <v>1997.0</v>
      </c>
      <c r="C13" s="11">
        <v>1148.0</v>
      </c>
      <c r="D13" s="12">
        <v>1500.0</v>
      </c>
      <c r="E13" s="13"/>
      <c r="F13" s="11">
        <f t="shared" si="1"/>
        <v>1997</v>
      </c>
      <c r="G13" s="14">
        <v>1996.0</v>
      </c>
      <c r="H13" s="14">
        <f t="shared" si="2"/>
        <v>1</v>
      </c>
      <c r="I13" s="14">
        <v>8.0</v>
      </c>
      <c r="J13" s="15">
        <f t="shared" si="3"/>
        <v>8</v>
      </c>
      <c r="K13" s="13"/>
      <c r="L13" s="11">
        <f t="shared" si="4"/>
        <v>1148</v>
      </c>
      <c r="M13" s="14">
        <v>1148.0</v>
      </c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1508</v>
      </c>
      <c r="S13" s="14">
        <v>20.0</v>
      </c>
      <c r="T13" s="15">
        <f t="shared" si="8"/>
        <v>1528</v>
      </c>
    </row>
    <row r="14" ht="15.75" customHeight="1">
      <c r="A14" s="6">
        <v>24.0</v>
      </c>
      <c r="B14" s="5">
        <v>4139.0</v>
      </c>
      <c r="C14" s="5">
        <v>1163.0</v>
      </c>
      <c r="D14" s="7">
        <v>2000.0</v>
      </c>
      <c r="E14" s="3"/>
      <c r="F14" s="5">
        <f t="shared" si="1"/>
        <v>4139</v>
      </c>
      <c r="G14" s="8">
        <v>4044.0</v>
      </c>
      <c r="H14" s="8">
        <f t="shared" si="2"/>
        <v>95</v>
      </c>
      <c r="I14" s="8">
        <v>8.0</v>
      </c>
      <c r="J14" s="9">
        <f t="shared" si="3"/>
        <v>760</v>
      </c>
      <c r="K14" s="3"/>
      <c r="L14" s="5">
        <f t="shared" si="4"/>
        <v>1163</v>
      </c>
      <c r="M14" s="8">
        <v>1105.0</v>
      </c>
      <c r="N14" s="8">
        <f t="shared" si="5"/>
        <v>58</v>
      </c>
      <c r="O14" s="8">
        <v>20.0</v>
      </c>
      <c r="P14" s="9">
        <f t="shared" si="6"/>
        <v>1160</v>
      </c>
      <c r="Q14" s="3"/>
      <c r="R14" s="8">
        <f t="shared" si="7"/>
        <v>3920</v>
      </c>
      <c r="S14" s="8">
        <v>20.0</v>
      </c>
      <c r="T14" s="9">
        <f t="shared" si="8"/>
        <v>3940</v>
      </c>
    </row>
    <row r="15" ht="15.75" customHeight="1">
      <c r="A15" s="10">
        <v>25.0</v>
      </c>
      <c r="B15" s="11">
        <v>4138.0</v>
      </c>
      <c r="C15" s="11">
        <v>1996.0</v>
      </c>
      <c r="D15" s="12">
        <v>1500.0</v>
      </c>
      <c r="E15" s="13"/>
      <c r="F15" s="11">
        <f t="shared" si="1"/>
        <v>4138</v>
      </c>
      <c r="G15" s="14">
        <v>4093.0</v>
      </c>
      <c r="H15" s="14">
        <f t="shared" si="2"/>
        <v>45</v>
      </c>
      <c r="I15" s="14">
        <v>8.0</v>
      </c>
      <c r="J15" s="15">
        <f t="shared" si="3"/>
        <v>360</v>
      </c>
      <c r="K15" s="13"/>
      <c r="L15" s="11">
        <f t="shared" si="4"/>
        <v>1996</v>
      </c>
      <c r="M15" s="14">
        <v>1988.0</v>
      </c>
      <c r="N15" s="14">
        <f t="shared" si="5"/>
        <v>8</v>
      </c>
      <c r="O15" s="14">
        <v>20.0</v>
      </c>
      <c r="P15" s="15">
        <f t="shared" si="6"/>
        <v>160</v>
      </c>
      <c r="Q15" s="13"/>
      <c r="R15" s="14">
        <f t="shared" si="7"/>
        <v>2020</v>
      </c>
      <c r="S15" s="14">
        <v>20.0</v>
      </c>
      <c r="T15" s="15">
        <f t="shared" si="8"/>
        <v>2040</v>
      </c>
    </row>
    <row r="16" ht="15.75" customHeight="1">
      <c r="A16" s="6">
        <v>26.0</v>
      </c>
      <c r="B16" s="5">
        <v>2005.0</v>
      </c>
      <c r="C16" s="5">
        <v>1589.0</v>
      </c>
      <c r="D16" s="7">
        <v>2000.0</v>
      </c>
      <c r="E16" s="3"/>
      <c r="F16" s="5">
        <f t="shared" si="1"/>
        <v>2005</v>
      </c>
      <c r="G16" s="8">
        <v>1935.0</v>
      </c>
      <c r="H16" s="8">
        <f t="shared" si="2"/>
        <v>70</v>
      </c>
      <c r="I16" s="8">
        <v>8.0</v>
      </c>
      <c r="J16" s="9">
        <f t="shared" si="3"/>
        <v>560</v>
      </c>
      <c r="K16" s="3"/>
      <c r="L16" s="5">
        <f t="shared" si="4"/>
        <v>1589</v>
      </c>
      <c r="M16" s="8">
        <v>1582.0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2700</v>
      </c>
      <c r="S16" s="8">
        <v>20.0</v>
      </c>
      <c r="T16" s="9">
        <f t="shared" si="8"/>
        <v>2720</v>
      </c>
    </row>
    <row r="17" ht="15.75" customHeight="1">
      <c r="A17" s="10">
        <v>27.0</v>
      </c>
      <c r="B17" s="11">
        <v>4996.0</v>
      </c>
      <c r="C17" s="11">
        <v>1750.0</v>
      </c>
      <c r="D17" s="12">
        <v>1500.0</v>
      </c>
      <c r="E17" s="13"/>
      <c r="F17" s="11">
        <f t="shared" si="1"/>
        <v>4996</v>
      </c>
      <c r="G17" s="14">
        <v>4786.0</v>
      </c>
      <c r="H17" s="14">
        <f t="shared" si="2"/>
        <v>210</v>
      </c>
      <c r="I17" s="14">
        <v>8.0</v>
      </c>
      <c r="J17" s="15">
        <f t="shared" si="3"/>
        <v>1680</v>
      </c>
      <c r="K17" s="13"/>
      <c r="L17" s="11">
        <f t="shared" si="4"/>
        <v>1750</v>
      </c>
      <c r="M17" s="14">
        <v>1736.0</v>
      </c>
      <c r="N17" s="14">
        <f t="shared" si="5"/>
        <v>14</v>
      </c>
      <c r="O17" s="14">
        <v>20.0</v>
      </c>
      <c r="P17" s="15">
        <f t="shared" si="6"/>
        <v>280</v>
      </c>
      <c r="Q17" s="13"/>
      <c r="R17" s="14">
        <f t="shared" si="7"/>
        <v>3460</v>
      </c>
      <c r="S17" s="14">
        <v>20.0</v>
      </c>
      <c r="T17" s="15">
        <f t="shared" si="8"/>
        <v>3480</v>
      </c>
    </row>
    <row r="18" ht="15.75" customHeight="1">
      <c r="A18" s="6">
        <v>28.0</v>
      </c>
      <c r="B18" s="5">
        <v>898.0</v>
      </c>
      <c r="C18" s="5">
        <v>576.0</v>
      </c>
      <c r="D18" s="7">
        <v>1500.0</v>
      </c>
      <c r="E18" s="3"/>
      <c r="F18" s="5">
        <f t="shared" si="1"/>
        <v>898</v>
      </c>
      <c r="G18" s="8">
        <v>821.0</v>
      </c>
      <c r="H18" s="8">
        <f t="shared" si="2"/>
        <v>77</v>
      </c>
      <c r="I18" s="8">
        <v>8.0</v>
      </c>
      <c r="J18" s="9">
        <f t="shared" si="3"/>
        <v>616</v>
      </c>
      <c r="K18" s="3"/>
      <c r="L18" s="5">
        <f t="shared" si="4"/>
        <v>576</v>
      </c>
      <c r="M18" s="8">
        <v>565.0</v>
      </c>
      <c r="N18" s="8">
        <f t="shared" si="5"/>
        <v>11</v>
      </c>
      <c r="O18" s="8">
        <v>20.0</v>
      </c>
      <c r="P18" s="9">
        <f t="shared" si="6"/>
        <v>220</v>
      </c>
      <c r="Q18" s="3"/>
      <c r="R18" s="8">
        <f t="shared" si="7"/>
        <v>2336</v>
      </c>
      <c r="S18" s="8">
        <v>20.0</v>
      </c>
      <c r="T18" s="9">
        <f t="shared" si="8"/>
        <v>2356</v>
      </c>
    </row>
    <row r="19" ht="15.75" customHeight="1">
      <c r="A19" s="10">
        <v>29.0</v>
      </c>
      <c r="B19" s="11">
        <v>1706.0</v>
      </c>
      <c r="C19" s="11">
        <v>1203.0</v>
      </c>
      <c r="D19" s="12">
        <v>1500.0</v>
      </c>
      <c r="E19" s="13"/>
      <c r="F19" s="11">
        <f t="shared" si="1"/>
        <v>1706</v>
      </c>
      <c r="G19" s="14">
        <v>1694.0</v>
      </c>
      <c r="H19" s="14">
        <f t="shared" si="2"/>
        <v>12</v>
      </c>
      <c r="I19" s="14">
        <v>8.0</v>
      </c>
      <c r="J19" s="15">
        <f t="shared" si="3"/>
        <v>96</v>
      </c>
      <c r="K19" s="13"/>
      <c r="L19" s="11">
        <f t="shared" si="4"/>
        <v>1203</v>
      </c>
      <c r="M19" s="14">
        <v>1200.0</v>
      </c>
      <c r="N19" s="14">
        <f t="shared" si="5"/>
        <v>3</v>
      </c>
      <c r="O19" s="14">
        <v>20.0</v>
      </c>
      <c r="P19" s="15">
        <f t="shared" si="6"/>
        <v>60</v>
      </c>
      <c r="Q19" s="13"/>
      <c r="R19" s="14">
        <f t="shared" si="7"/>
        <v>1656</v>
      </c>
      <c r="S19" s="14">
        <v>20.0</v>
      </c>
      <c r="T19" s="15">
        <f t="shared" si="8"/>
        <v>1676</v>
      </c>
    </row>
    <row r="20" ht="15.75" customHeight="1">
      <c r="A20" s="6">
        <v>30.0</v>
      </c>
      <c r="B20" s="5">
        <v>265.0</v>
      </c>
      <c r="C20" s="5">
        <v>1396.0</v>
      </c>
      <c r="D20" s="7">
        <v>1500.0</v>
      </c>
      <c r="E20" s="3"/>
      <c r="F20" s="5">
        <f t="shared" si="1"/>
        <v>265</v>
      </c>
      <c r="G20" s="8">
        <v>183.0</v>
      </c>
      <c r="H20" s="8">
        <f t="shared" si="2"/>
        <v>82</v>
      </c>
      <c r="I20" s="8">
        <v>8.0</v>
      </c>
      <c r="J20" s="9">
        <f t="shared" si="3"/>
        <v>656</v>
      </c>
      <c r="K20" s="3"/>
      <c r="L20" s="5">
        <f t="shared" si="4"/>
        <v>1396</v>
      </c>
      <c r="M20" s="8">
        <v>1388.0</v>
      </c>
      <c r="N20" s="8">
        <f t="shared" si="5"/>
        <v>8</v>
      </c>
      <c r="O20" s="8">
        <v>20.0</v>
      </c>
      <c r="P20" s="9">
        <f t="shared" si="6"/>
        <v>160</v>
      </c>
      <c r="Q20" s="3"/>
      <c r="R20" s="8">
        <f t="shared" si="7"/>
        <v>2316</v>
      </c>
      <c r="S20" s="8">
        <v>20.0</v>
      </c>
      <c r="T20" s="9">
        <f t="shared" si="8"/>
        <v>2336</v>
      </c>
    </row>
    <row r="21" ht="15.75" customHeight="1">
      <c r="A21" s="10">
        <v>31.0</v>
      </c>
      <c r="B21" s="11">
        <v>661.0</v>
      </c>
      <c r="C21" s="11">
        <v>1688.0</v>
      </c>
      <c r="D21" s="12">
        <v>1500.0</v>
      </c>
      <c r="E21" s="13"/>
      <c r="F21" s="11">
        <f t="shared" si="1"/>
        <v>661</v>
      </c>
      <c r="G21" s="14">
        <v>586.0</v>
      </c>
      <c r="H21" s="14">
        <f t="shared" si="2"/>
        <v>75</v>
      </c>
      <c r="I21" s="14">
        <v>8.0</v>
      </c>
      <c r="J21" s="15">
        <f t="shared" si="3"/>
        <v>600</v>
      </c>
      <c r="K21" s="13"/>
      <c r="L21" s="11">
        <f t="shared" si="4"/>
        <v>1688</v>
      </c>
      <c r="M21" s="14">
        <v>1680.0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2260</v>
      </c>
      <c r="S21" s="14">
        <v>20.0</v>
      </c>
      <c r="T21" s="15">
        <f t="shared" si="8"/>
        <v>2280</v>
      </c>
    </row>
    <row r="22" ht="15.75" customHeight="1">
      <c r="A22" s="6">
        <v>32.0</v>
      </c>
      <c r="B22" s="5">
        <v>998.0</v>
      </c>
      <c r="C22" s="5">
        <v>1301.0</v>
      </c>
      <c r="D22" s="7">
        <v>1500.0</v>
      </c>
      <c r="E22" s="3"/>
      <c r="F22" s="5">
        <f t="shared" si="1"/>
        <v>998</v>
      </c>
      <c r="G22" s="8">
        <v>997.0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8">
        <v>1300.0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1528</v>
      </c>
      <c r="S22" s="8">
        <v>20.0</v>
      </c>
      <c r="T22" s="9">
        <f t="shared" si="8"/>
        <v>1548</v>
      </c>
    </row>
    <row r="23" ht="15.75" customHeight="1">
      <c r="A23" s="16">
        <v>33.0</v>
      </c>
      <c r="B23" s="17">
        <v>165.0</v>
      </c>
      <c r="C23" s="17">
        <v>1593.0</v>
      </c>
      <c r="D23" s="18">
        <v>1400.0</v>
      </c>
      <c r="E23" s="19"/>
      <c r="F23" s="17">
        <f t="shared" si="1"/>
        <v>165</v>
      </c>
      <c r="G23" s="20">
        <v>122.0</v>
      </c>
      <c r="H23" s="20">
        <f t="shared" si="2"/>
        <v>43</v>
      </c>
      <c r="I23" s="20">
        <v>8.0</v>
      </c>
      <c r="J23" s="21">
        <f t="shared" si="3"/>
        <v>344</v>
      </c>
      <c r="K23" s="13"/>
      <c r="L23" s="17">
        <f t="shared" si="4"/>
        <v>1593</v>
      </c>
      <c r="M23" s="20">
        <v>1590.0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1804</v>
      </c>
      <c r="S23" s="20">
        <v>20.0</v>
      </c>
      <c r="T23" s="23">
        <f t="shared" si="8"/>
        <v>1824</v>
      </c>
    </row>
    <row r="24" ht="15.75" customHeight="1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13344</v>
      </c>
      <c r="K24" s="24"/>
      <c r="L24" s="24"/>
      <c r="M24" s="24"/>
      <c r="N24" s="25" t="s">
        <v>14</v>
      </c>
      <c r="O24" s="26"/>
      <c r="P24" s="29">
        <f>SUM(P2:P23)</f>
        <v>4020</v>
      </c>
      <c r="Q24" s="24"/>
      <c r="R24" s="25" t="s">
        <v>15</v>
      </c>
      <c r="S24" s="26"/>
      <c r="T24" s="29">
        <f>SUM(T2:T23)</f>
        <v>51604</v>
      </c>
    </row>
    <row r="25" ht="15.75" customHeight="1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ht="15.75" customHeight="1">
      <c r="A26" s="6" t="s">
        <v>16</v>
      </c>
      <c r="B26" s="5">
        <v>21000.0</v>
      </c>
      <c r="C26" s="5">
        <v>1366.0</v>
      </c>
      <c r="D26" s="32">
        <v>15000.0</v>
      </c>
      <c r="E26" s="33"/>
      <c r="F26" s="5">
        <f>B26</f>
        <v>21000</v>
      </c>
      <c r="G26" s="5">
        <v>20906.0</v>
      </c>
      <c r="H26" s="8">
        <f>F26-G26</f>
        <v>94</v>
      </c>
      <c r="I26" s="8">
        <v>6.0</v>
      </c>
      <c r="J26" s="34">
        <f>H26*I26</f>
        <v>564</v>
      </c>
      <c r="K26" s="5"/>
      <c r="L26" s="5">
        <f>C26</f>
        <v>1366</v>
      </c>
      <c r="M26" s="5">
        <v>1365.0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15584</v>
      </c>
      <c r="S26" s="8">
        <v>20.0</v>
      </c>
      <c r="T26" s="36">
        <f>R26+S26</f>
        <v>15604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67208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 ht="15.75" customHeight="1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67208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67208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 ht="15.75" customHeight="1">
      <c r="A2" s="6" t="s">
        <v>11</v>
      </c>
      <c r="B2" s="5">
        <f>6197</f>
        <v>6197</v>
      </c>
      <c r="C2" s="5">
        <v>1535.0</v>
      </c>
      <c r="D2" s="7">
        <v>1500.0</v>
      </c>
      <c r="E2" s="3"/>
      <c r="F2" s="5">
        <f t="shared" ref="F2:F23" si="1">B2</f>
        <v>6197</v>
      </c>
      <c r="G2" s="5">
        <v>5871.0</v>
      </c>
      <c r="H2" s="8">
        <f t="shared" ref="H2:H23" si="2">F2-G2</f>
        <v>326</v>
      </c>
      <c r="I2" s="8">
        <v>8.0</v>
      </c>
      <c r="J2" s="9">
        <f t="shared" ref="J2:J23" si="3">H2*I2</f>
        <v>2608</v>
      </c>
      <c r="K2" s="3"/>
      <c r="L2" s="5">
        <f t="shared" ref="L2:L23" si="4">C2</f>
        <v>1535</v>
      </c>
      <c r="M2" s="5">
        <v>1521.0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4388</v>
      </c>
      <c r="S2" s="8">
        <v>20.0</v>
      </c>
      <c r="T2" s="9">
        <f t="shared" ref="T2:T23" si="8">R2+S2</f>
        <v>4408</v>
      </c>
    </row>
    <row r="3" ht="15.75" customHeight="1">
      <c r="A3" s="10">
        <v>13.0</v>
      </c>
      <c r="B3" s="11">
        <v>3374.0</v>
      </c>
      <c r="C3" s="11">
        <v>1722.0</v>
      </c>
      <c r="D3" s="12">
        <v>1500.0</v>
      </c>
      <c r="E3" s="13"/>
      <c r="F3" s="11">
        <f t="shared" si="1"/>
        <v>3374</v>
      </c>
      <c r="G3" s="11">
        <v>3338.0</v>
      </c>
      <c r="H3" s="14">
        <f t="shared" si="2"/>
        <v>36</v>
      </c>
      <c r="I3" s="14">
        <v>8.0</v>
      </c>
      <c r="J3" s="15">
        <f t="shared" si="3"/>
        <v>288</v>
      </c>
      <c r="K3" s="13"/>
      <c r="L3" s="11">
        <f t="shared" si="4"/>
        <v>1722</v>
      </c>
      <c r="M3" s="11">
        <v>1717.0</v>
      </c>
      <c r="N3" s="14">
        <f t="shared" si="5"/>
        <v>5</v>
      </c>
      <c r="O3" s="14">
        <v>20.0</v>
      </c>
      <c r="P3" s="15">
        <f t="shared" si="6"/>
        <v>100</v>
      </c>
      <c r="Q3" s="13"/>
      <c r="R3" s="14">
        <f t="shared" si="7"/>
        <v>1888</v>
      </c>
      <c r="S3" s="14">
        <v>20.0</v>
      </c>
      <c r="T3" s="15">
        <f t="shared" si="8"/>
        <v>1908</v>
      </c>
    </row>
    <row r="4" ht="15.75" customHeight="1">
      <c r="A4" s="6">
        <v>14.0</v>
      </c>
      <c r="B4" s="5">
        <v>194.0</v>
      </c>
      <c r="C4" s="5">
        <v>3352.0</v>
      </c>
      <c r="D4" s="7">
        <v>1200.0</v>
      </c>
      <c r="E4" s="3"/>
      <c r="F4" s="5">
        <f t="shared" si="1"/>
        <v>194</v>
      </c>
      <c r="G4" s="5">
        <v>86.0</v>
      </c>
      <c r="H4" s="8">
        <f t="shared" si="2"/>
        <v>108</v>
      </c>
      <c r="I4" s="8">
        <v>8.0</v>
      </c>
      <c r="J4" s="9">
        <f t="shared" si="3"/>
        <v>864</v>
      </c>
      <c r="K4" s="3"/>
      <c r="L4" s="5">
        <f t="shared" si="4"/>
        <v>3352</v>
      </c>
      <c r="M4" s="5">
        <v>3340.0</v>
      </c>
      <c r="N4" s="8">
        <f t="shared" si="5"/>
        <v>12</v>
      </c>
      <c r="O4" s="8">
        <v>20.0</v>
      </c>
      <c r="P4" s="9">
        <f t="shared" si="6"/>
        <v>240</v>
      </c>
      <c r="Q4" s="3"/>
      <c r="R4" s="8">
        <f t="shared" si="7"/>
        <v>2304</v>
      </c>
      <c r="S4" s="8">
        <v>20.0</v>
      </c>
      <c r="T4" s="9">
        <f t="shared" si="8"/>
        <v>2324</v>
      </c>
    </row>
    <row r="5" ht="15.75" customHeight="1">
      <c r="A5" s="10">
        <v>15.0</v>
      </c>
      <c r="B5" s="11">
        <v>383.0</v>
      </c>
      <c r="C5" s="11">
        <v>1648.0</v>
      </c>
      <c r="D5" s="12">
        <v>1200.0</v>
      </c>
      <c r="E5" s="13"/>
      <c r="F5" s="11">
        <f t="shared" si="1"/>
        <v>383</v>
      </c>
      <c r="G5" s="11">
        <v>161.0</v>
      </c>
      <c r="H5" s="14">
        <f t="shared" si="2"/>
        <v>222</v>
      </c>
      <c r="I5" s="14">
        <v>8.0</v>
      </c>
      <c r="J5" s="15">
        <f t="shared" si="3"/>
        <v>1776</v>
      </c>
      <c r="K5" s="13"/>
      <c r="L5" s="11">
        <f t="shared" si="4"/>
        <v>1648</v>
      </c>
      <c r="M5" s="11">
        <v>1645.0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3036</v>
      </c>
      <c r="S5" s="14">
        <v>20.0</v>
      </c>
      <c r="T5" s="15">
        <f t="shared" si="8"/>
        <v>3056</v>
      </c>
    </row>
    <row r="6" ht="15.75" customHeight="1">
      <c r="A6" s="6">
        <v>16.0</v>
      </c>
      <c r="B6" s="5">
        <v>8975.0</v>
      </c>
      <c r="C6" s="5">
        <v>340.0</v>
      </c>
      <c r="D6" s="7">
        <v>2000.0</v>
      </c>
      <c r="E6" s="3"/>
      <c r="F6" s="5">
        <f t="shared" si="1"/>
        <v>8975</v>
      </c>
      <c r="G6" s="5">
        <v>8820.0</v>
      </c>
      <c r="H6" s="8">
        <f t="shared" si="2"/>
        <v>155</v>
      </c>
      <c r="I6" s="8">
        <v>8.0</v>
      </c>
      <c r="J6" s="9">
        <f t="shared" si="3"/>
        <v>1240</v>
      </c>
      <c r="K6" s="3"/>
      <c r="L6" s="5">
        <f t="shared" si="4"/>
        <v>340</v>
      </c>
      <c r="M6" s="5">
        <v>330.0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3440</v>
      </c>
      <c r="S6" s="8">
        <v>20.0</v>
      </c>
      <c r="T6" s="9">
        <f t="shared" si="8"/>
        <v>3460</v>
      </c>
    </row>
    <row r="7" ht="15.75" customHeight="1">
      <c r="A7" s="10">
        <v>17.0</v>
      </c>
      <c r="B7" s="11">
        <v>1880.0</v>
      </c>
      <c r="C7" s="11">
        <v>3026.0</v>
      </c>
      <c r="D7" s="12">
        <v>1500.0</v>
      </c>
      <c r="E7" s="13"/>
      <c r="F7" s="11">
        <f t="shared" si="1"/>
        <v>1880</v>
      </c>
      <c r="G7" s="11">
        <v>1849.0</v>
      </c>
      <c r="H7" s="14">
        <f t="shared" si="2"/>
        <v>31</v>
      </c>
      <c r="I7" s="14">
        <v>8.0</v>
      </c>
      <c r="J7" s="15">
        <f t="shared" si="3"/>
        <v>248</v>
      </c>
      <c r="K7" s="13"/>
      <c r="L7" s="11">
        <f t="shared" si="4"/>
        <v>3026</v>
      </c>
      <c r="M7" s="11">
        <v>3025.0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1768</v>
      </c>
      <c r="S7" s="14">
        <v>20.0</v>
      </c>
      <c r="T7" s="15">
        <f t="shared" si="8"/>
        <v>1788</v>
      </c>
    </row>
    <row r="8" ht="15.75" customHeight="1">
      <c r="A8" s="6">
        <v>18.0</v>
      </c>
      <c r="B8" s="5">
        <v>9915.0</v>
      </c>
      <c r="C8" s="5">
        <v>1424.0</v>
      </c>
      <c r="D8" s="7">
        <v>1500.0</v>
      </c>
      <c r="E8" s="3"/>
      <c r="F8" s="5">
        <f t="shared" si="1"/>
        <v>9915</v>
      </c>
      <c r="G8" s="5">
        <v>9875.0</v>
      </c>
      <c r="H8" s="8">
        <f t="shared" si="2"/>
        <v>40</v>
      </c>
      <c r="I8" s="8">
        <v>8.0</v>
      </c>
      <c r="J8" s="9">
        <f t="shared" si="3"/>
        <v>320</v>
      </c>
      <c r="K8" s="3"/>
      <c r="L8" s="5">
        <f t="shared" si="4"/>
        <v>1424</v>
      </c>
      <c r="M8" s="5">
        <v>1413.0</v>
      </c>
      <c r="N8" s="8">
        <f t="shared" si="5"/>
        <v>11</v>
      </c>
      <c r="O8" s="8">
        <v>20.0</v>
      </c>
      <c r="P8" s="9">
        <f t="shared" si="6"/>
        <v>220</v>
      </c>
      <c r="Q8" s="3"/>
      <c r="R8" s="8">
        <f t="shared" si="7"/>
        <v>2040</v>
      </c>
      <c r="S8" s="8">
        <v>20.0</v>
      </c>
      <c r="T8" s="9">
        <f t="shared" si="8"/>
        <v>2060</v>
      </c>
    </row>
    <row r="9" ht="15.75" customHeight="1">
      <c r="A9" s="10">
        <v>19.0</v>
      </c>
      <c r="B9" s="11">
        <v>104.0</v>
      </c>
      <c r="C9" s="11">
        <v>1587.0</v>
      </c>
      <c r="D9" s="12">
        <v>1500.0</v>
      </c>
      <c r="E9" s="13"/>
      <c r="F9" s="11">
        <f t="shared" si="1"/>
        <v>104</v>
      </c>
      <c r="G9" s="11">
        <v>70.0</v>
      </c>
      <c r="H9" s="14">
        <f t="shared" si="2"/>
        <v>34</v>
      </c>
      <c r="I9" s="14">
        <v>8.0</v>
      </c>
      <c r="J9" s="15">
        <f t="shared" si="3"/>
        <v>272</v>
      </c>
      <c r="K9" s="13"/>
      <c r="L9" s="11">
        <f t="shared" si="4"/>
        <v>1587</v>
      </c>
      <c r="M9" s="11">
        <v>1581.0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1892</v>
      </c>
      <c r="S9" s="14">
        <v>20.0</v>
      </c>
      <c r="T9" s="15">
        <f t="shared" si="8"/>
        <v>1912</v>
      </c>
    </row>
    <row r="10" ht="15.75" customHeight="1">
      <c r="A10" s="6">
        <v>20.0</v>
      </c>
      <c r="B10" s="5">
        <v>6583.0</v>
      </c>
      <c r="C10" s="5">
        <v>1997.0</v>
      </c>
      <c r="D10" s="7">
        <v>1500.0</v>
      </c>
      <c r="E10" s="3"/>
      <c r="F10" s="5">
        <f t="shared" si="1"/>
        <v>6583</v>
      </c>
      <c r="G10" s="5">
        <v>6402.0</v>
      </c>
      <c r="H10" s="8">
        <f t="shared" si="2"/>
        <v>181</v>
      </c>
      <c r="I10" s="8">
        <v>8.0</v>
      </c>
      <c r="J10" s="9">
        <f t="shared" si="3"/>
        <v>1448</v>
      </c>
      <c r="K10" s="3"/>
      <c r="L10" s="5">
        <f t="shared" si="4"/>
        <v>1997</v>
      </c>
      <c r="M10" s="5">
        <v>1982.0</v>
      </c>
      <c r="N10" s="8">
        <f t="shared" si="5"/>
        <v>15</v>
      </c>
      <c r="O10" s="8">
        <v>20.0</v>
      </c>
      <c r="P10" s="9">
        <f t="shared" si="6"/>
        <v>300</v>
      </c>
      <c r="Q10" s="3"/>
      <c r="R10" s="8">
        <f t="shared" si="7"/>
        <v>3248</v>
      </c>
      <c r="S10" s="8">
        <v>20.0</v>
      </c>
      <c r="T10" s="9">
        <f t="shared" si="8"/>
        <v>3268</v>
      </c>
    </row>
    <row r="11" ht="15.75" customHeight="1">
      <c r="A11" s="10">
        <v>21.0</v>
      </c>
      <c r="B11" s="11">
        <v>979.0</v>
      </c>
      <c r="C11" s="11">
        <v>96.0</v>
      </c>
      <c r="D11" s="12">
        <v>1500.0</v>
      </c>
      <c r="E11" s="13"/>
      <c r="F11" s="11">
        <f t="shared" si="1"/>
        <v>979</v>
      </c>
      <c r="G11" s="11">
        <v>962.0</v>
      </c>
      <c r="H11" s="14">
        <f t="shared" si="2"/>
        <v>17</v>
      </c>
      <c r="I11" s="14">
        <v>8.0</v>
      </c>
      <c r="J11" s="15">
        <f t="shared" si="3"/>
        <v>136</v>
      </c>
      <c r="K11" s="13"/>
      <c r="L11" s="11">
        <f t="shared" si="4"/>
        <v>96</v>
      </c>
      <c r="M11" s="11">
        <v>94.0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1676</v>
      </c>
      <c r="S11" s="14">
        <v>20.0</v>
      </c>
      <c r="T11" s="15">
        <f t="shared" si="8"/>
        <v>1696</v>
      </c>
    </row>
    <row r="12" ht="15.75" customHeight="1">
      <c r="A12" s="6">
        <v>22.0</v>
      </c>
      <c r="B12" s="5">
        <v>3406.0</v>
      </c>
      <c r="C12" s="5">
        <v>1447.0</v>
      </c>
      <c r="D12" s="7">
        <v>1500.0</v>
      </c>
      <c r="E12" s="3"/>
      <c r="F12" s="5">
        <f t="shared" si="1"/>
        <v>3406</v>
      </c>
      <c r="G12" s="5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5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 ht="15.75" customHeight="1">
      <c r="A13" s="10">
        <v>23.0</v>
      </c>
      <c r="B13" s="11">
        <v>2025.0</v>
      </c>
      <c r="C13" s="11">
        <v>1151.0</v>
      </c>
      <c r="D13" s="12">
        <v>1500.0</v>
      </c>
      <c r="E13" s="13"/>
      <c r="F13" s="11">
        <f t="shared" si="1"/>
        <v>2025</v>
      </c>
      <c r="G13" s="11">
        <v>1997.0</v>
      </c>
      <c r="H13" s="14">
        <f t="shared" si="2"/>
        <v>28</v>
      </c>
      <c r="I13" s="14">
        <v>8.0</v>
      </c>
      <c r="J13" s="15">
        <f t="shared" si="3"/>
        <v>224</v>
      </c>
      <c r="K13" s="13"/>
      <c r="L13" s="11">
        <f t="shared" si="4"/>
        <v>1151</v>
      </c>
      <c r="M13" s="11">
        <v>1148.0</v>
      </c>
      <c r="N13" s="14">
        <f t="shared" si="5"/>
        <v>3</v>
      </c>
      <c r="O13" s="14">
        <v>20.0</v>
      </c>
      <c r="P13" s="15">
        <f t="shared" si="6"/>
        <v>60</v>
      </c>
      <c r="Q13" s="13"/>
      <c r="R13" s="14">
        <f t="shared" si="7"/>
        <v>1784</v>
      </c>
      <c r="S13" s="14">
        <v>20.0</v>
      </c>
      <c r="T13" s="15">
        <f t="shared" si="8"/>
        <v>1804</v>
      </c>
    </row>
    <row r="14" ht="15.75" customHeight="1">
      <c r="A14" s="6">
        <v>24.0</v>
      </c>
      <c r="B14" s="5">
        <v>4217.0</v>
      </c>
      <c r="C14" s="5">
        <v>1237.0</v>
      </c>
      <c r="D14" s="7">
        <v>2000.0</v>
      </c>
      <c r="E14" s="3"/>
      <c r="F14" s="5">
        <f t="shared" si="1"/>
        <v>4217</v>
      </c>
      <c r="G14" s="5">
        <v>4139.0</v>
      </c>
      <c r="H14" s="8">
        <f t="shared" si="2"/>
        <v>78</v>
      </c>
      <c r="I14" s="8">
        <v>8.0</v>
      </c>
      <c r="J14" s="9">
        <f t="shared" si="3"/>
        <v>624</v>
      </c>
      <c r="K14" s="3"/>
      <c r="L14" s="5">
        <f t="shared" si="4"/>
        <v>1237</v>
      </c>
      <c r="M14" s="5">
        <v>1163.0</v>
      </c>
      <c r="N14" s="8">
        <f t="shared" si="5"/>
        <v>74</v>
      </c>
      <c r="O14" s="8">
        <v>20.0</v>
      </c>
      <c r="P14" s="9">
        <f t="shared" si="6"/>
        <v>1480</v>
      </c>
      <c r="Q14" s="3"/>
      <c r="R14" s="8">
        <f t="shared" si="7"/>
        <v>4104</v>
      </c>
      <c r="S14" s="8">
        <v>20.0</v>
      </c>
      <c r="T14" s="9">
        <f t="shared" si="8"/>
        <v>4124</v>
      </c>
    </row>
    <row r="15" ht="15.75" customHeight="1">
      <c r="A15" s="10">
        <v>25.0</v>
      </c>
      <c r="B15" s="11">
        <v>4190.0</v>
      </c>
      <c r="C15" s="11">
        <v>2005.0</v>
      </c>
      <c r="D15" s="12">
        <v>1500.0</v>
      </c>
      <c r="E15" s="13"/>
      <c r="F15" s="11">
        <f t="shared" si="1"/>
        <v>4190</v>
      </c>
      <c r="G15" s="11">
        <v>4138.0</v>
      </c>
      <c r="H15" s="14">
        <f t="shared" si="2"/>
        <v>52</v>
      </c>
      <c r="I15" s="14">
        <v>8.0</v>
      </c>
      <c r="J15" s="15">
        <f t="shared" si="3"/>
        <v>416</v>
      </c>
      <c r="K15" s="13"/>
      <c r="L15" s="11">
        <f t="shared" si="4"/>
        <v>2005</v>
      </c>
      <c r="M15" s="11">
        <v>1996.0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2096</v>
      </c>
      <c r="S15" s="14">
        <v>20.0</v>
      </c>
      <c r="T15" s="15">
        <f t="shared" si="8"/>
        <v>2116</v>
      </c>
    </row>
    <row r="16" ht="15.75" customHeight="1">
      <c r="A16" s="6">
        <v>26.0</v>
      </c>
      <c r="B16" s="5">
        <v>2081.0</v>
      </c>
      <c r="C16" s="5">
        <v>1596.0</v>
      </c>
      <c r="D16" s="7">
        <v>2000.0</v>
      </c>
      <c r="E16" s="3"/>
      <c r="F16" s="5">
        <f t="shared" si="1"/>
        <v>2081</v>
      </c>
      <c r="G16" s="5">
        <v>2005.0</v>
      </c>
      <c r="H16" s="8">
        <f t="shared" si="2"/>
        <v>76</v>
      </c>
      <c r="I16" s="8">
        <v>8.0</v>
      </c>
      <c r="J16" s="9">
        <f t="shared" si="3"/>
        <v>608</v>
      </c>
      <c r="K16" s="3"/>
      <c r="L16" s="5">
        <f t="shared" si="4"/>
        <v>1596</v>
      </c>
      <c r="M16" s="5">
        <v>1589.0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2748</v>
      </c>
      <c r="S16" s="8">
        <v>20.0</v>
      </c>
      <c r="T16" s="9">
        <f t="shared" si="8"/>
        <v>2768</v>
      </c>
    </row>
    <row r="17" ht="15.75" customHeight="1">
      <c r="A17" s="10">
        <v>27.0</v>
      </c>
      <c r="B17" s="11">
        <v>5312.0</v>
      </c>
      <c r="C17" s="11">
        <v>1772.0</v>
      </c>
      <c r="D17" s="12">
        <v>1500.0</v>
      </c>
      <c r="E17" s="13"/>
      <c r="F17" s="11">
        <f t="shared" si="1"/>
        <v>5312</v>
      </c>
      <c r="G17" s="11">
        <v>4996.0</v>
      </c>
      <c r="H17" s="14">
        <f t="shared" si="2"/>
        <v>316</v>
      </c>
      <c r="I17" s="14">
        <v>8.0</v>
      </c>
      <c r="J17" s="15">
        <f t="shared" si="3"/>
        <v>2528</v>
      </c>
      <c r="K17" s="13"/>
      <c r="L17" s="11">
        <f t="shared" si="4"/>
        <v>1772</v>
      </c>
      <c r="M17" s="11">
        <v>1750.0</v>
      </c>
      <c r="N17" s="14">
        <f t="shared" si="5"/>
        <v>22</v>
      </c>
      <c r="O17" s="14">
        <v>20.0</v>
      </c>
      <c r="P17" s="15">
        <f t="shared" si="6"/>
        <v>440</v>
      </c>
      <c r="Q17" s="13"/>
      <c r="R17" s="14">
        <f t="shared" si="7"/>
        <v>4468</v>
      </c>
      <c r="S17" s="14">
        <v>20.0</v>
      </c>
      <c r="T17" s="15">
        <f t="shared" si="8"/>
        <v>4488</v>
      </c>
    </row>
    <row r="18" ht="15.75" customHeight="1">
      <c r="A18" s="6">
        <v>28.0</v>
      </c>
      <c r="B18" s="5">
        <v>971.0</v>
      </c>
      <c r="C18" s="5">
        <v>582.0</v>
      </c>
      <c r="D18" s="7">
        <v>1500.0</v>
      </c>
      <c r="E18" s="3"/>
      <c r="F18" s="5">
        <f t="shared" si="1"/>
        <v>971</v>
      </c>
      <c r="G18" s="5">
        <v>898.0</v>
      </c>
      <c r="H18" s="8">
        <f t="shared" si="2"/>
        <v>73</v>
      </c>
      <c r="I18" s="8">
        <v>8.0</v>
      </c>
      <c r="J18" s="9">
        <f t="shared" si="3"/>
        <v>584</v>
      </c>
      <c r="K18" s="3"/>
      <c r="L18" s="5">
        <f t="shared" si="4"/>
        <v>582</v>
      </c>
      <c r="M18" s="5">
        <v>576.0</v>
      </c>
      <c r="N18" s="8">
        <f t="shared" si="5"/>
        <v>6</v>
      </c>
      <c r="O18" s="8">
        <v>20.0</v>
      </c>
      <c r="P18" s="9">
        <f t="shared" si="6"/>
        <v>120</v>
      </c>
      <c r="Q18" s="3"/>
      <c r="R18" s="8">
        <f t="shared" si="7"/>
        <v>2204</v>
      </c>
      <c r="S18" s="8">
        <v>20.0</v>
      </c>
      <c r="T18" s="9">
        <f t="shared" si="8"/>
        <v>2224</v>
      </c>
    </row>
    <row r="19" ht="15.75" customHeight="1">
      <c r="A19" s="10">
        <v>29.0</v>
      </c>
      <c r="B19" s="11">
        <v>1706.0</v>
      </c>
      <c r="C19" s="11">
        <v>1203.0</v>
      </c>
      <c r="D19" s="12">
        <v>1500.0</v>
      </c>
      <c r="E19" s="13"/>
      <c r="F19" s="11">
        <f t="shared" si="1"/>
        <v>1706</v>
      </c>
      <c r="G19" s="11">
        <v>1706.0</v>
      </c>
      <c r="H19" s="14">
        <f t="shared" si="2"/>
        <v>0</v>
      </c>
      <c r="I19" s="14">
        <v>8.0</v>
      </c>
      <c r="J19" s="15">
        <f t="shared" si="3"/>
        <v>0</v>
      </c>
      <c r="K19" s="13"/>
      <c r="L19" s="11">
        <f t="shared" si="4"/>
        <v>1203</v>
      </c>
      <c r="M19" s="11">
        <v>1203.0</v>
      </c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 ht="15.75" customHeight="1">
      <c r="A20" s="6">
        <v>30.0</v>
      </c>
      <c r="B20" s="5">
        <v>322.0</v>
      </c>
      <c r="C20" s="5">
        <v>1399.0</v>
      </c>
      <c r="D20" s="7">
        <v>1500.0</v>
      </c>
      <c r="E20" s="3"/>
      <c r="F20" s="5">
        <f t="shared" si="1"/>
        <v>322</v>
      </c>
      <c r="G20" s="5">
        <v>265.0</v>
      </c>
      <c r="H20" s="8">
        <f t="shared" si="2"/>
        <v>57</v>
      </c>
      <c r="I20" s="8">
        <v>8.0</v>
      </c>
      <c r="J20" s="9">
        <f t="shared" si="3"/>
        <v>456</v>
      </c>
      <c r="K20" s="3"/>
      <c r="L20" s="5">
        <f t="shared" si="4"/>
        <v>1399</v>
      </c>
      <c r="M20" s="5">
        <v>1396.0</v>
      </c>
      <c r="N20" s="8">
        <f t="shared" si="5"/>
        <v>3</v>
      </c>
      <c r="O20" s="8">
        <v>20.0</v>
      </c>
      <c r="P20" s="9">
        <f t="shared" si="6"/>
        <v>60</v>
      </c>
      <c r="Q20" s="3"/>
      <c r="R20" s="8">
        <f t="shared" si="7"/>
        <v>2016</v>
      </c>
      <c r="S20" s="8">
        <v>20.0</v>
      </c>
      <c r="T20" s="9">
        <f t="shared" si="8"/>
        <v>2036</v>
      </c>
    </row>
    <row r="21" ht="15.75" customHeight="1">
      <c r="A21" s="10">
        <v>31.0</v>
      </c>
      <c r="B21" s="11">
        <v>733.0</v>
      </c>
      <c r="C21" s="11">
        <v>1696.0</v>
      </c>
      <c r="D21" s="12">
        <v>1500.0</v>
      </c>
      <c r="E21" s="13"/>
      <c r="F21" s="11">
        <f t="shared" si="1"/>
        <v>733</v>
      </c>
      <c r="G21" s="11">
        <v>661.0</v>
      </c>
      <c r="H21" s="14">
        <f t="shared" si="2"/>
        <v>72</v>
      </c>
      <c r="I21" s="14">
        <v>8.0</v>
      </c>
      <c r="J21" s="15">
        <f t="shared" si="3"/>
        <v>576</v>
      </c>
      <c r="K21" s="13"/>
      <c r="L21" s="11">
        <f t="shared" si="4"/>
        <v>1696</v>
      </c>
      <c r="M21" s="11">
        <v>1688.0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2236</v>
      </c>
      <c r="S21" s="14">
        <v>20.0</v>
      </c>
      <c r="T21" s="15">
        <f t="shared" si="8"/>
        <v>2256</v>
      </c>
    </row>
    <row r="22" ht="15.75" customHeight="1">
      <c r="A22" s="6">
        <v>32.0</v>
      </c>
      <c r="B22" s="5">
        <v>999.0</v>
      </c>
      <c r="C22" s="5">
        <v>1301.0</v>
      </c>
      <c r="D22" s="7">
        <v>1500.0</v>
      </c>
      <c r="E22" s="3"/>
      <c r="F22" s="5">
        <f t="shared" si="1"/>
        <v>999</v>
      </c>
      <c r="G22" s="5">
        <v>998.0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5">
        <v>1301.0</v>
      </c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1508</v>
      </c>
      <c r="S22" s="8">
        <v>20.0</v>
      </c>
      <c r="T22" s="9">
        <f t="shared" si="8"/>
        <v>1528</v>
      </c>
    </row>
    <row r="23" ht="15.75" customHeight="1">
      <c r="A23" s="16">
        <v>33.0</v>
      </c>
      <c r="B23" s="17">
        <v>213.0</v>
      </c>
      <c r="C23" s="17">
        <v>1596.0</v>
      </c>
      <c r="D23" s="18">
        <v>1400.0</v>
      </c>
      <c r="E23" s="19"/>
      <c r="F23" s="17">
        <f t="shared" si="1"/>
        <v>213</v>
      </c>
      <c r="G23" s="17">
        <v>165.0</v>
      </c>
      <c r="H23" s="20">
        <f t="shared" si="2"/>
        <v>48</v>
      </c>
      <c r="I23" s="20">
        <v>8.0</v>
      </c>
      <c r="J23" s="21">
        <f t="shared" si="3"/>
        <v>384</v>
      </c>
      <c r="K23" s="13"/>
      <c r="L23" s="17">
        <f t="shared" si="4"/>
        <v>1596</v>
      </c>
      <c r="M23" s="17">
        <v>1593.0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1844</v>
      </c>
      <c r="S23" s="20">
        <v>20.0</v>
      </c>
      <c r="T23" s="23">
        <f t="shared" si="8"/>
        <v>1864</v>
      </c>
    </row>
    <row r="24" ht="15.75" customHeight="1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15608</v>
      </c>
      <c r="K24" s="24"/>
      <c r="L24" s="24"/>
      <c r="M24" s="24"/>
      <c r="N24" s="25" t="s">
        <v>14</v>
      </c>
      <c r="O24" s="26"/>
      <c r="P24" s="29">
        <f>SUM(P2:P23)</f>
        <v>4280</v>
      </c>
      <c r="Q24" s="24"/>
      <c r="R24" s="25" t="s">
        <v>24</v>
      </c>
      <c r="S24" s="26"/>
      <c r="T24" s="29">
        <f>SUM(T2:T23)</f>
        <v>54128</v>
      </c>
    </row>
    <row r="25" ht="15.75" customHeight="1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ht="15.75" customHeight="1">
      <c r="A26" s="6" t="s">
        <v>16</v>
      </c>
      <c r="B26" s="5">
        <v>21239.0</v>
      </c>
      <c r="C26" s="5">
        <v>1366.0</v>
      </c>
      <c r="D26" s="32">
        <v>15000.0</v>
      </c>
      <c r="E26" s="33"/>
      <c r="F26" s="5">
        <f>B26</f>
        <v>21239</v>
      </c>
      <c r="G26" s="5">
        <v>21000.0</v>
      </c>
      <c r="H26" s="8">
        <f>F26-G26</f>
        <v>239</v>
      </c>
      <c r="I26" s="8">
        <v>6.0</v>
      </c>
      <c r="J26" s="34">
        <f>H26*I26</f>
        <v>1434</v>
      </c>
      <c r="K26" s="5"/>
      <c r="L26" s="5">
        <f>C26</f>
        <v>1366</v>
      </c>
      <c r="M26" s="5">
        <v>1366.0</v>
      </c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16434</v>
      </c>
      <c r="S26" s="8">
        <v>20.0</v>
      </c>
      <c r="T26" s="36">
        <f>R26+S26</f>
        <v>16454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70582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 ht="15.75" customHeight="1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70582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70582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